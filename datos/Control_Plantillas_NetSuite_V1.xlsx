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_Ejecutivo" sheetId="1" r:id="rId4"/>
    <sheet state="visible" name="Instructivo" sheetId="2" r:id="rId5"/>
    <sheet state="hidden" name="Catalogos" sheetId="3" r:id="rId6"/>
    <sheet state="visible" name="Control_Plantillas" sheetId="4" r:id="rId7"/>
  </sheets>
  <definedNames>
    <definedName name="Cat_Modulos">Catalogos!$D$3:$D$8</definedName>
    <definedName name="Cat_Etapas">Catalogos!$J$3:$J$8</definedName>
    <definedName name="Cat_Areas">Catalogos!$H$3:$H$10</definedName>
    <definedName name="Cat_Estatus">Catalogos!$A$3:$A$7</definedName>
    <definedName name="Cat_Factor">Catalogos!$B$3:$B$7</definedName>
    <definedName name="Cat_Prioridad">Catalogos!$F$3:$F$6</definedName>
    <definedName hidden="1" localSheetId="3" name="_xlnm._FilterDatabase">Control_Plantillas!$A$3:$AD$44</definedName>
  </definedNames>
  <calcPr/>
  <extLst>
    <ext uri="GoogleSheetsCustomDataVersion2">
      <go:sheetsCustomData xmlns:go="http://customooxmlschemas.google.com/" r:id="rId8" roundtripDataChecksum="skABl+Gmq2v1V9l1N2DNXXb53cr0LWM/qA2+d0SYebU="/>
    </ext>
  </extLst>
</workbook>
</file>

<file path=xl/sharedStrings.xml><?xml version="1.0" encoding="utf-8"?>
<sst xmlns="http://schemas.openxmlformats.org/spreadsheetml/2006/main" count="711" uniqueCount="274">
  <si>
    <t>TABLERO DE CONTROL — PLANTILLAS DE MIGRACIÓN ORACLE NETSUITE</t>
  </si>
  <si>
    <t>INSTRUCTIVO DE USO — CONTROL DE PLANTILLAS ORACLE NETSUITE</t>
  </si>
  <si>
    <t>CATÁLOGOS - No modificar sin autorización del PMO</t>
  </si>
  <si>
    <t>GRUPO ESTEVEZ · Etapa vigente: llenado de plantillas por áreas y Key Users</t>
  </si>
  <si>
    <t>1. ¿Qué se captura y qué se calcula solo?</t>
  </si>
  <si>
    <t>Estatus</t>
  </si>
  <si>
    <t>Factor avance</t>
  </si>
  <si>
    <t>CONTROL DE PLANTILLAS DE MIGRACIÓN — ORACLE NETSUITE | ESTEVEZ.JOR</t>
  </si>
  <si>
    <t>Módulos</t>
  </si>
  <si>
    <t>Prioridad</t>
  </si>
  <si>
    <t>Áreas / Frentes</t>
  </si>
  <si>
    <t>Etapas</t>
  </si>
  <si>
    <t>Peso etapa</t>
  </si>
  <si>
    <t>No iniciado</t>
  </si>
  <si>
    <t>INDICADORES CLAVE</t>
  </si>
  <si>
    <t>AVANCE POR MÓDULO</t>
  </si>
  <si>
    <t>Plantillas totales</t>
  </si>
  <si>
    <t>•  Celdas con fondo AMARILLO: son las únicas que se capturan manualmente (Key User, Revisor y las fechas de compromiso / reales).</t>
  </si>
  <si>
    <t>Finanzas (R2R)</t>
  </si>
  <si>
    <t>Crítica</t>
  </si>
  <si>
    <t>Finanzas / Contabilidad</t>
  </si>
  <si>
    <t>•  Columnas de estatus (E1 a E5): se seleccionan de la lista desplegable. No escribir texto libre.</t>
  </si>
  <si>
    <t>1. Llenado de plantilla</t>
  </si>
  <si>
    <t>En proceso</t>
  </si>
  <si>
    <t>•  Columnas X a AC (Etapa #, Etapa Actual, % Avance, Próx. Compromiso, Días Restantes y Semáforo): se calculan automáticamente. NO editar.</t>
  </si>
  <si>
    <t>Compras (P2P)</t>
  </si>
  <si>
    <t>Alta</t>
  </si>
  <si>
    <t>Compras / Abastecimiento</t>
  </si>
  <si>
    <t>2. Revisión y validación</t>
  </si>
  <si>
    <t>•  La hoja Resumen_Ejecutivo se actualiza sola a partir de la hoja Control_Plantillas.</t>
  </si>
  <si>
    <t>Completado</t>
  </si>
  <si>
    <t>Ventas (O2C)</t>
  </si>
  <si>
    <t>Media</t>
  </si>
  <si>
    <t>Comercial / Ventas</t>
  </si>
  <si>
    <t>3. Carga en repositorio Oracle</t>
  </si>
  <si>
    <t>2. Etapas del flujo y su peso en el avance</t>
  </si>
  <si>
    <t>Bloqueado</t>
  </si>
  <si>
    <t>Inventarios (D2B)</t>
  </si>
  <si>
    <t>Baja</t>
  </si>
  <si>
    <t>•  E1 · Llenado de plantilla por el área / Key User .................... 40%</t>
  </si>
  <si>
    <t>Almacén / Inventarios</t>
  </si>
  <si>
    <t>4. Ambiente Sandbox</t>
  </si>
  <si>
    <t>No aplica</t>
  </si>
  <si>
    <t>Manufactura (MFG)</t>
  </si>
  <si>
    <t>Manufactura / Producción</t>
  </si>
  <si>
    <t>5. Ambiente Productivo</t>
  </si>
  <si>
    <t>Activos Fijos (FA)</t>
  </si>
  <si>
    <t>•  E2 · Revisión y validación (PMO / consultoría) ..................... 20%</t>
  </si>
  <si>
    <t>Activos Fijos / Patrimonio</t>
  </si>
  <si>
    <t>IDENTIFICACIÓN Y RESPONSABLES</t>
  </si>
  <si>
    <t>6. Cerrado</t>
  </si>
  <si>
    <t>•  E3 · Carga en el repositorio de Oracle ............................. 15%</t>
  </si>
  <si>
    <t>Capital Humano</t>
  </si>
  <si>
    <t>Módulo</t>
  </si>
  <si>
    <t>•  E4 · Carga y validación en ambiente Sandbox ........................ 15%</t>
  </si>
  <si>
    <t>Suma de pesos (debe ser 100%)</t>
  </si>
  <si>
    <t>•  E5 · Carga en ambiente Productivo .................................. 10%</t>
  </si>
  <si>
    <t>Plantillas</t>
  </si>
  <si>
    <t>•  Los pesos son editables en la hoja Catalogos (columna L). Deben sumar 100%.</t>
  </si>
  <si>
    <t>% Avance</t>
  </si>
  <si>
    <t>E1 Llenado OK</t>
  </si>
  <si>
    <t>3. Valores de estatus permitidos</t>
  </si>
  <si>
    <t>E2 Revisión OK</t>
  </si>
  <si>
    <t>E3 Repositorio OK</t>
  </si>
  <si>
    <t>E4 Sandbox OK</t>
  </si>
  <si>
    <t>•  No iniciado — la etapa aún no arranca (avance 0%).</t>
  </si>
  <si>
    <t>E5 Productivo OK</t>
  </si>
  <si>
    <t>E1 · LLENADO</t>
  </si>
  <si>
    <t>Avance global ponderado</t>
  </si>
  <si>
    <t>•  En proceso — etapa iniciada sin concluir (avance 50% de su peso).</t>
  </si>
  <si>
    <t>•  Completado — etapa concluida y con evidencia (avance 100% de su peso).</t>
  </si>
  <si>
    <t>•  Bloqueado — detenida por una dependencia o decisión. Documentar el motivo en Observaciones.</t>
  </si>
  <si>
    <t>E2 · REVISIÓN</t>
  </si>
  <si>
    <t>•  No aplica — la plantilla no requiere esa etapa. Cuenta como completada para el avance.</t>
  </si>
  <si>
    <t>4. Lectura del semáforo</t>
  </si>
  <si>
    <t>E3 · REPOSITORIO ORACLE</t>
  </si>
  <si>
    <t>PMO / Consultoría</t>
  </si>
  <si>
    <t>•  En tiempo — faltan más de 7 días para la fecha compromiso de la etapa vigente.</t>
  </si>
  <si>
    <t>E4 · SANDBOX</t>
  </si>
  <si>
    <t>•  En riesgo — faltan 7 días o menos.</t>
  </si>
  <si>
    <t>•  Vencido — la fecha compromiso ya pasó y la etapa sigue abierta.</t>
  </si>
  <si>
    <t>E5 · PRODUCTIVO</t>
  </si>
  <si>
    <t>•  Bloqueado — existe al menos una etapa marcada como bloqueada.</t>
  </si>
  <si>
    <t>•  Sin fecha — falta capturar la fecha compromiso de la etapa vigente. Debe regularizarse.</t>
  </si>
  <si>
    <t>•  Cerrado — la plantilla llegó a ambiente productivo.</t>
  </si>
  <si>
    <t>SEGUIMIENTO AUTOMÁTICO</t>
  </si>
  <si>
    <t>5. Conexión con el tablero HTML</t>
  </si>
  <si>
    <t>•  Abrir el archivo Tablero_Plantillas_NetSuite.html en cualquier navegador.</t>
  </si>
  <si>
    <t>ID</t>
  </si>
  <si>
    <t>•  Arrastrar este archivo Excel sobre el tablero (o usar el botón Cargar archivo Excel).</t>
  </si>
  <si>
    <t>Código</t>
  </si>
  <si>
    <t>Plantilla</t>
  </si>
  <si>
    <t>•  El tablero se regenera completo con la información más reciente: KPIs, avance por módulo, embudo de etapas y detalle filtrable.</t>
  </si>
  <si>
    <t>Área Responsable</t>
  </si>
  <si>
    <t>Key User</t>
  </si>
  <si>
    <t>•  No se sube nada a internet: la lectura del archivo ocurre localmente en el navegador.</t>
  </si>
  <si>
    <t>Consultor Oracle</t>
  </si>
  <si>
    <t>•  Requisito: no cambiar los nombres de la hoja Control_Plantillas ni de los encabezados de la fila 3.</t>
  </si>
  <si>
    <t>6. Supuestos aplicados en la carga inicial (validar con las áreas)</t>
  </si>
  <si>
    <t>E1 Llenado</t>
  </si>
  <si>
    <t>E1 F. Compromiso</t>
  </si>
  <si>
    <t>E1 F. Real</t>
  </si>
  <si>
    <t>E2 Revisión</t>
  </si>
  <si>
    <t>E2 F. Compromiso</t>
  </si>
  <si>
    <t>E2 F. Real</t>
  </si>
  <si>
    <t>•  El inventario de plantillas se construyó a partir de las capturas del repositorio compartido (Finanzas, Compras, Ventas, Inventarios y Manufactura).</t>
  </si>
  <si>
    <t>E3 Repositorio</t>
  </si>
  <si>
    <t>E3 F. Compromiso</t>
  </si>
  <si>
    <t>E3 F. Real</t>
  </si>
  <si>
    <t>E4 Sandbox</t>
  </si>
  <si>
    <t>•  Se marcaron como Completado en E1 únicamente las plantillas cuyo nombre indica versión Final (COA MX, 300/310/320 MX). El resto quedó En proceso.</t>
  </si>
  <si>
    <t>E4 F. Compromiso</t>
  </si>
  <si>
    <t>E4 F. Real</t>
  </si>
  <si>
    <t>E5 Productivo</t>
  </si>
  <si>
    <t>•  Activos Fijos se incluyó con tres plantillas tentativas: no se observó carpeta en el repositorio. Pendiente de confirmar con el área.</t>
  </si>
  <si>
    <t>E5 F. Compromiso</t>
  </si>
  <si>
    <t>E5 F. Real</t>
  </si>
  <si>
    <t>Etapa #</t>
  </si>
  <si>
    <t>•  No se capturaron fechas compromiso porque no fueron proporcionadas. Es la primera acción a completar con cada Key User.</t>
  </si>
  <si>
    <t>Etapa Actual</t>
  </si>
  <si>
    <t>•  Las etapas E2 a E5 se inicializaron en No iniciado conforme al estatus reportado del proyecto.</t>
  </si>
  <si>
    <t>Próx. Compromiso</t>
  </si>
  <si>
    <t>Días Restantes</t>
  </si>
  <si>
    <t>7. Ejemplo de captura correcta de una fila</t>
  </si>
  <si>
    <t>Semáforo</t>
  </si>
  <si>
    <t>Observaciones / Bloqueos</t>
  </si>
  <si>
    <t>FIN-01</t>
  </si>
  <si>
    <t>—</t>
  </si>
  <si>
    <t>ESTEVEZ - Clases</t>
  </si>
  <si>
    <t>VTA-01</t>
  </si>
  <si>
    <t>Llenado completado</t>
  </si>
  <si>
    <t>Angelica Ramirez</t>
  </si>
  <si>
    <t xml:space="preserve">Fredy Sanchez </t>
  </si>
  <si>
    <t>300 MX Clientes (Final)</t>
  </si>
  <si>
    <t>Itzel Bárcena</t>
  </si>
  <si>
    <t>Revisor / Consultor</t>
  </si>
  <si>
    <t>Brandon Hernández</t>
  </si>
  <si>
    <t>15/05/2026</t>
  </si>
  <si>
    <t>26/05/2026</t>
  </si>
  <si>
    <t>28/08/2026</t>
  </si>
  <si>
    <t>Observaciones</t>
  </si>
  <si>
    <t>Duplicidad de RFC entre dos clientes: requiere definición del área.</t>
  </si>
  <si>
    <t>Llenado en proceso</t>
  </si>
  <si>
    <t>Sin iniciar</t>
  </si>
  <si>
    <t>FIN-02</t>
  </si>
  <si>
    <t xml:space="preserve">ESTEVEZ - COA MX Plan de Cuentas </t>
  </si>
  <si>
    <t>Bloqueadas</t>
  </si>
  <si>
    <t>Vencidas</t>
  </si>
  <si>
    <t>FIN-03</t>
  </si>
  <si>
    <t>En riesgo (≤7 días)</t>
  </si>
  <si>
    <t>ESTEVEZ - Departamentos</t>
  </si>
  <si>
    <t>TOTAL</t>
  </si>
  <si>
    <t>Sin fecha compromiso</t>
  </si>
  <si>
    <t>Cerradas (productivo)</t>
  </si>
  <si>
    <t>FIN-04</t>
  </si>
  <si>
    <t>DISTRIBUCIÓN POR ETAPA ACTUAL</t>
  </si>
  <si>
    <t>ESTEVEZ - Plantilla Subsidiarias</t>
  </si>
  <si>
    <t>Etapa</t>
  </si>
  <si>
    <t>% del total</t>
  </si>
  <si>
    <t>FIN-05</t>
  </si>
  <si>
    <t>ESTEVEZ - Ubicaciones</t>
  </si>
  <si>
    <t>FIN-06</t>
  </si>
  <si>
    <t>ESTEVEZ - Impuestos y Retenciones MX</t>
  </si>
  <si>
    <t>CMP-01</t>
  </si>
  <si>
    <t>210</t>
  </si>
  <si>
    <t>Proveedores</t>
  </si>
  <si>
    <t>Nancy Ruiz Ruiz
Ana Laura Cedillo</t>
  </si>
  <si>
    <t>Hector Garcia</t>
  </si>
  <si>
    <t>CMP-02</t>
  </si>
  <si>
    <t>220</t>
  </si>
  <si>
    <t>Empleados</t>
  </si>
  <si>
    <t xml:space="preserve">Caterrine Ladino </t>
  </si>
  <si>
    <t>300</t>
  </si>
  <si>
    <t>MX Clientes</t>
  </si>
  <si>
    <t>Itzel Barcena
Erick Carmona</t>
  </si>
  <si>
    <t>Jose Mauricio Caranza</t>
  </si>
  <si>
    <t>VTA-02</t>
  </si>
  <si>
    <t>310</t>
  </si>
  <si>
    <t xml:space="preserve">MX Contactos </t>
  </si>
  <si>
    <t>VTA-03</t>
  </si>
  <si>
    <t>320</t>
  </si>
  <si>
    <t>MX Direcciones</t>
  </si>
  <si>
    <t>INV-01</t>
  </si>
  <si>
    <t>401</t>
  </si>
  <si>
    <t>MX Unidades de Medida</t>
  </si>
  <si>
    <t>Edgar Manuel Avila</t>
  </si>
  <si>
    <t>Mateo Escallón</t>
  </si>
  <si>
    <t>INV-02</t>
  </si>
  <si>
    <t>402</t>
  </si>
  <si>
    <t>MX SAT Clave Producto Servicio</t>
  </si>
  <si>
    <t>INV-03</t>
  </si>
  <si>
    <t>403</t>
  </si>
  <si>
    <t>MX SAT Clave de Unidad</t>
  </si>
  <si>
    <t>INV-04</t>
  </si>
  <si>
    <t>404</t>
  </si>
  <si>
    <t>MX SAT Clave Arancelaria</t>
  </si>
  <si>
    <t>INV-05</t>
  </si>
  <si>
    <t>410</t>
  </si>
  <si>
    <t>MX Artículo de Inventario</t>
  </si>
  <si>
    <t>INV-06</t>
  </si>
  <si>
    <t>411</t>
  </si>
  <si>
    <t>MX Artículo Fuera de Inventario para la Compra</t>
  </si>
  <si>
    <t>INV-07</t>
  </si>
  <si>
    <t>412</t>
  </si>
  <si>
    <t>MX Artículo Fuera de Inventario para la Venta</t>
  </si>
  <si>
    <t>INV-08</t>
  </si>
  <si>
    <t>413</t>
  </si>
  <si>
    <t>MX Artículo Fuera de Inventario para la Reventa</t>
  </si>
  <si>
    <t>INV-09</t>
  </si>
  <si>
    <t>414</t>
  </si>
  <si>
    <t>MX Artículo con Descuento</t>
  </si>
  <si>
    <t>INV-10</t>
  </si>
  <si>
    <t>415</t>
  </si>
  <si>
    <t>MX Artículo con Recargo</t>
  </si>
  <si>
    <t>INV-11</t>
  </si>
  <si>
    <t>416</t>
  </si>
  <si>
    <t>MX Artículo de Servicio para la Compra</t>
  </si>
  <si>
    <t>INV-12</t>
  </si>
  <si>
    <t>417</t>
  </si>
  <si>
    <t>MX Artículo de Servicio para la Venta</t>
  </si>
  <si>
    <t>INV-13</t>
  </si>
  <si>
    <t>418</t>
  </si>
  <si>
    <t>MX Artículo de Servicio para la Reventa</t>
  </si>
  <si>
    <t>INV-14</t>
  </si>
  <si>
    <t>419</t>
  </si>
  <si>
    <t>MX Artículo de Otro Cargo para la Compra</t>
  </si>
  <si>
    <t>INV-15</t>
  </si>
  <si>
    <t>420</t>
  </si>
  <si>
    <t>MX Artículo de Otro Cargo para la Venta</t>
  </si>
  <si>
    <t>INV-16</t>
  </si>
  <si>
    <t>421</t>
  </si>
  <si>
    <t>MX Artículo de Otro Cargo para la Reventa</t>
  </si>
  <si>
    <t>INV-17</t>
  </si>
  <si>
    <t>450</t>
  </si>
  <si>
    <t>MX Grupo de Artículos</t>
  </si>
  <si>
    <t>INV-18</t>
  </si>
  <si>
    <t>451</t>
  </si>
  <si>
    <t>MX Kit de Artículos</t>
  </si>
  <si>
    <t>INV-19</t>
  </si>
  <si>
    <t>460</t>
  </si>
  <si>
    <t>MX Artículos de Inventario por Lote</t>
  </si>
  <si>
    <t>INV-20</t>
  </si>
  <si>
    <t>461</t>
  </si>
  <si>
    <t>MX Artículos de Inventario por Serie</t>
  </si>
  <si>
    <t>INV-21</t>
  </si>
  <si>
    <t>462</t>
  </si>
  <si>
    <t>MX Depósito</t>
  </si>
  <si>
    <t>INV-22</t>
  </si>
  <si>
    <t>464</t>
  </si>
  <si>
    <t>MX Configuración de Ubicación de Artículo</t>
  </si>
  <si>
    <t>INV-23</t>
  </si>
  <si>
    <t>472</t>
  </si>
  <si>
    <t>MX Costo de Revaluación de Inventario</t>
  </si>
  <si>
    <t>MFG-01</t>
  </si>
  <si>
    <t>MX Artículo de Inventario Manufactura</t>
  </si>
  <si>
    <t>Alberto Romero</t>
  </si>
  <si>
    <t>MFG-02</t>
  </si>
  <si>
    <t>500</t>
  </si>
  <si>
    <t>Artículos Otros Cargos para la Compra</t>
  </si>
  <si>
    <t>MFG-03</t>
  </si>
  <si>
    <t>510</t>
  </si>
  <si>
    <t>Listas de Materiales</t>
  </si>
  <si>
    <t>MFG-04</t>
  </si>
  <si>
    <t>520</t>
  </si>
  <si>
    <t>Revisión de Listas de Materiales Estándar</t>
  </si>
  <si>
    <t>MFG-05</t>
  </si>
  <si>
    <t>530</t>
  </si>
  <si>
    <t>Artículos de Ensamble Lotizados</t>
  </si>
  <si>
    <t>MFG-06</t>
  </si>
  <si>
    <t>540</t>
  </si>
  <si>
    <t>Artículos de Ensamble</t>
  </si>
  <si>
    <t>ACF-01</t>
  </si>
  <si>
    <t>600</t>
  </si>
  <si>
    <t>Tipos de Activo Fijo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</si>
</sst>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dd/mm/yyyy"/>
  </numFmts>
  <fonts count="20">
    <font>
      <sz val="11.0"/>
      <color theme="1"/>
      <name val="Calibri"/>
      <scheme val="minor"/>
    </font>
    <font>
      <b/>
      <sz val="15.0"/>
      <color rgb="FF0B2A4A"/>
      <name val="Arial"/>
    </font>
    <font>
      <b/>
      <sz val="11.0"/>
      <color rgb="FF0B2A4A"/>
      <name val="Arial"/>
    </font>
    <font>
      <sz val="10.0"/>
      <color rgb="FF667085"/>
      <name val="Arial"/>
    </font>
    <font>
      <b/>
      <sz val="14.0"/>
      <color rgb="FF0B2A4A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Arial"/>
    </font>
    <font>
      <i/>
      <sz val="10.0"/>
      <color rgb="FF667085"/>
      <name val="Arial"/>
    </font>
    <font/>
    <font>
      <b/>
      <sz val="13.0"/>
      <color rgb="FFFFFFFF"/>
      <name val="Arial"/>
    </font>
    <font>
      <sz val="11.0"/>
      <color theme="1"/>
      <name val="Calibri"/>
    </font>
    <font>
      <b/>
      <sz val="9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0.0"/>
      <color theme="1"/>
      <name val="Arial"/>
    </font>
    <font>
      <sz val="10.0"/>
      <color rgb="FF1F4E79"/>
      <name val="Arial"/>
    </font>
    <font>
      <i/>
      <sz val="9.0"/>
      <color theme="1"/>
      <name val="Arial"/>
    </font>
    <font>
      <b/>
      <sz val="10.0"/>
      <color rgb="FF0B2A4A"/>
      <name val="Arial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B2A4A"/>
        <bgColor rgb="FF0B2A4A"/>
      </patternFill>
    </fill>
    <fill>
      <patternFill patternType="solid">
        <fgColor rgb="FF16406B"/>
        <bgColor rgb="FF16406B"/>
      </patternFill>
    </fill>
    <fill>
      <patternFill patternType="solid">
        <fgColor rgb="FF2E5F8A"/>
        <bgColor rgb="FF2E5F8A"/>
      </patternFill>
    </fill>
    <fill>
      <patternFill patternType="solid">
        <fgColor rgb="FFFFF2CC"/>
        <bgColor rgb="FFFFF2CC"/>
      </patternFill>
    </fill>
    <fill>
      <patternFill patternType="solid">
        <fgColor rgb="FFF2F4F7"/>
        <bgColor rgb="FFF2F4F7"/>
      </patternFill>
    </fill>
  </fills>
  <borders count="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FC7D1"/>
      </left>
      <right style="thin">
        <color rgb="FFBFC7D1"/>
      </right>
      <top style="thin">
        <color rgb="FFBFC7D1"/>
      </top>
      <bottom style="thin">
        <color rgb="FFBFC7D1"/>
      </bottom>
    </border>
    <border>
      <left style="thin">
        <color rgb="FFBFC7D1"/>
      </left>
      <top style="thin">
        <color rgb="FFBFC7D1"/>
      </top>
      <bottom style="thin">
        <color rgb="FFBFC7D1"/>
      </bottom>
    </border>
    <border>
      <top style="thin">
        <color rgb="FFBFC7D1"/>
      </top>
      <bottom style="thin">
        <color rgb="FFBFC7D1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Border="1" applyFill="1" applyFont="1"/>
    <xf borderId="2" fillId="3" fontId="7" numFmtId="0" xfId="0" applyBorder="1" applyFill="1" applyFont="1"/>
    <xf borderId="0" fillId="0" fontId="8" numFmtId="0" xfId="0" applyFont="1"/>
    <xf borderId="3" fillId="0" fontId="9" numFmtId="0" xfId="0" applyBorder="1" applyFont="1"/>
    <xf borderId="2" fillId="2" fontId="7" numFmtId="0" xfId="0" applyBorder="1" applyFill="1" applyFont="1"/>
    <xf borderId="4" fillId="0" fontId="9" numFmtId="0" xfId="0" applyBorder="1" applyFont="1"/>
    <xf borderId="0" fillId="0" fontId="5" numFmtId="9" xfId="0" applyFont="1" applyNumberFormat="1"/>
    <xf borderId="5" fillId="0" fontId="5" numFmtId="0" xfId="0" applyBorder="1" applyFont="1"/>
    <xf borderId="0" fillId="0" fontId="5" numFmtId="0" xfId="0" applyAlignment="1" applyFont="1">
      <alignment vertical="center"/>
    </xf>
    <xf borderId="2" fillId="2" fontId="10" numFmtId="0" xfId="0" applyAlignment="1" applyBorder="1" applyFill="1" applyFont="1">
      <alignment vertical="center"/>
    </xf>
    <xf borderId="5" fillId="0" fontId="11" numFmtId="0" xfId="0" applyBorder="1" applyFont="1"/>
    <xf borderId="5" fillId="0" fontId="2" numFmtId="1" xfId="0" applyAlignment="1" applyBorder="1" applyFont="1" applyNumberFormat="1">
      <alignment horizontal="center"/>
    </xf>
    <xf borderId="5" fillId="4" fontId="12" numFmtId="0" xfId="0" applyAlignment="1" applyBorder="1" applyFill="1" applyFont="1">
      <alignment horizontal="center" shrinkToFit="0" wrapText="1"/>
    </xf>
    <xf borderId="0" fillId="0" fontId="13" numFmtId="0" xfId="0" applyFont="1"/>
    <xf borderId="2" fillId="2" fontId="12" numFmtId="0" xfId="0" applyAlignment="1" applyBorder="1" applyFill="1" applyFont="1">
      <alignment horizontal="center" vertical="center"/>
    </xf>
    <xf borderId="2" fillId="3" fontId="12" numFmtId="0" xfId="0" applyAlignment="1" applyBorder="1" applyFill="1" applyFont="1">
      <alignment horizontal="center" vertical="center"/>
    </xf>
    <xf borderId="5" fillId="0" fontId="2" numFmtId="164" xfId="0" applyAlignment="1" applyBorder="1" applyFont="1" applyNumberFormat="1">
      <alignment horizontal="center"/>
    </xf>
    <xf borderId="5" fillId="0" fontId="5" numFmtId="0" xfId="0" applyAlignment="1" applyBorder="1" applyFont="1">
      <alignment horizontal="left"/>
    </xf>
    <xf borderId="5" fillId="0" fontId="11" numFmtId="0" xfId="0" applyAlignment="1" applyBorder="1" applyFont="1">
      <alignment horizontal="center"/>
    </xf>
    <xf borderId="5" fillId="4" fontId="12" numFmtId="0" xfId="0" applyAlignment="1" applyBorder="1" applyFill="1" applyFont="1">
      <alignment horizontal="center" shrinkToFit="0" vertical="center" wrapText="1"/>
    </xf>
    <xf borderId="5" fillId="0" fontId="11" numFmtId="164" xfId="0" applyAlignment="1" applyBorder="1" applyFont="1" applyNumberFormat="1">
      <alignment horizontal="center"/>
    </xf>
    <xf borderId="5" fillId="4" fontId="12" numFmtId="0" xfId="0" applyAlignment="1" applyBorder="1" applyFill="1" applyFont="1">
      <alignment horizontal="center" readingOrder="0" shrinkToFit="0" vertical="center" wrapText="1"/>
    </xf>
    <xf borderId="5" fillId="0" fontId="14" numFmtId="0" xfId="0" applyAlignment="1" applyBorder="1" applyFont="1">
      <alignment horizontal="center" vertical="center"/>
    </xf>
    <xf borderId="5" fillId="0" fontId="15" numFmtId="0" xfId="0" applyBorder="1" applyFont="1"/>
    <xf borderId="5" fillId="0" fontId="14" numFmtId="0" xfId="0" applyAlignment="1" applyBorder="1" applyFont="1">
      <alignment horizontal="left" shrinkToFit="0" vertical="center" wrapText="1"/>
    </xf>
    <xf borderId="6" fillId="0" fontId="16" numFmtId="0" xfId="0" applyBorder="1" applyFont="1"/>
    <xf borderId="7" fillId="0" fontId="9" numFmtId="0" xfId="0" applyBorder="1" applyFont="1"/>
    <xf borderId="5" fillId="0" fontId="14" numFmtId="0" xfId="0" applyAlignment="1" applyBorder="1" applyFont="1">
      <alignment horizontal="left" vertical="center"/>
    </xf>
    <xf borderId="5" fillId="5" fontId="14" numFmtId="0" xfId="0" applyAlignment="1" applyBorder="1" applyFill="1" applyFont="1">
      <alignment horizontal="center" vertical="center"/>
    </xf>
    <xf borderId="5" fillId="5" fontId="14" numFmtId="0" xfId="0" applyAlignment="1" applyBorder="1" applyFill="1" applyFont="1">
      <alignment horizontal="center" readingOrder="0" vertical="center"/>
    </xf>
    <xf borderId="5" fillId="5" fontId="14" numFmtId="165" xfId="0" applyAlignment="1" applyBorder="1" applyFill="1" applyFont="1" applyNumberFormat="1">
      <alignment horizontal="center" vertical="center"/>
    </xf>
    <xf borderId="5" fillId="0" fontId="17" numFmtId="0" xfId="0" applyAlignment="1" applyBorder="1" applyFont="1">
      <alignment horizontal="left" vertical="center"/>
    </xf>
    <xf borderId="5" fillId="0" fontId="13" numFmtId="9" xfId="0" applyAlignment="1" applyBorder="1" applyFont="1" applyNumberFormat="1">
      <alignment horizontal="center" vertical="center"/>
    </xf>
    <xf borderId="5" fillId="0" fontId="14" numFmtId="165" xfId="0" applyAlignment="1" applyBorder="1" applyFont="1" applyNumberFormat="1">
      <alignment horizontal="center" vertical="center"/>
    </xf>
    <xf borderId="5" fillId="0" fontId="14" numFmtId="0" xfId="0" applyAlignment="1" applyBorder="1" applyFont="1">
      <alignment horizontal="center" readingOrder="0" vertical="center"/>
    </xf>
    <xf borderId="5" fillId="5" fontId="14" numFmtId="165" xfId="0" applyAlignment="1" applyBorder="1" applyFill="1" applyFont="1" applyNumberFormat="1">
      <alignment horizontal="center" readingOrder="0" vertical="center"/>
    </xf>
    <xf borderId="5" fillId="6" fontId="18" numFmtId="0" xfId="0" applyAlignment="1" applyBorder="1" applyFill="1" applyFont="1">
      <alignment horizontal="left"/>
    </xf>
    <xf borderId="5" fillId="6" fontId="18" numFmtId="0" xfId="0" applyAlignment="1" applyBorder="1" applyFill="1" applyFont="1">
      <alignment horizontal="center"/>
    </xf>
    <xf borderId="5" fillId="6" fontId="18" numFmtId="164" xfId="0" applyAlignment="1" applyBorder="1" applyFill="1" applyFont="1" applyNumberFormat="1">
      <alignment horizontal="center"/>
    </xf>
    <xf borderId="5" fillId="4" fontId="12" numFmtId="0" xfId="0" applyAlignment="1" applyBorder="1" applyFill="1" applyFont="1">
      <alignment horizontal="center"/>
    </xf>
    <xf borderId="5" fillId="5" fontId="14" numFmtId="0" xfId="0" applyAlignment="1" applyBorder="1" applyFill="1" applyFont="1">
      <alignment horizontal="center" shrinkToFit="0" vertical="center" wrapText="1"/>
    </xf>
    <xf borderId="0" fillId="0" fontId="19" numFmtId="0" xfId="0" applyFont="1"/>
  </cellXfs>
  <cellStyles count="1">
    <cellStyle xfId="0" name="Normal" builtinId="0"/>
  </cellStyles>
  <dxfs count="7">
    <dxf>
      <font>
        <b/>
        <sz val="9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sz val="9.0"/>
        <color rgb="FF9C6500"/>
        <name val="Arial"/>
      </font>
      <fill>
        <patternFill patternType="solid">
          <fgColor rgb="FFFFEB9C"/>
          <bgColor rgb="FFFFEB9C"/>
        </patternFill>
      </fill>
      <border/>
    </dxf>
    <dxf>
      <font>
        <b/>
        <sz val="9.0"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sz val="9.0"/>
        <color rgb="FF667085"/>
        <name val="Arial"/>
      </font>
      <fill>
        <patternFill patternType="solid">
          <fgColor rgb="FFE4E7EC"/>
          <bgColor rgb="FFE4E7EC"/>
        </patternFill>
      </fill>
      <border/>
    </dxf>
    <dxf>
      <font>
        <b/>
        <sz val="9.0"/>
        <color rgb="FF9C0006"/>
        <name val="Arial"/>
      </font>
      <fill>
        <patternFill patternType="none"/>
      </fill>
      <border/>
    </dxf>
    <dxf>
      <font>
        <b/>
        <sz val="9.0"/>
        <color rgb="FF1F4E79"/>
        <name val="Arial"/>
      </font>
      <fill>
        <patternFill patternType="solid">
          <fgColor rgb="FFD9E8FB"/>
          <bgColor rgb="FFD9E8FB"/>
        </patternFill>
      </fill>
      <border/>
    </dxf>
    <dxf>
      <font>
        <b/>
        <sz val="9.0"/>
        <color rgb="FF667085"/>
        <name val="Arial"/>
      </font>
      <fill>
        <patternFill patternType="solid">
          <fgColor rgb="FFE4E7EC"/>
          <bgColor rgb="FFE4E7E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4.0"/>
    <col customWidth="1" min="3" max="3" width="14.0"/>
    <col customWidth="1" min="4" max="4" width="3.0"/>
    <col customWidth="1" min="5" max="5" width="22.0"/>
    <col customWidth="1" min="6" max="12" width="15.0"/>
    <col customWidth="1" min="13" max="26" width="8.71"/>
  </cols>
  <sheetData>
    <row r="1" ht="18.75" customHeight="1">
      <c r="A1" s="1" t="s">
        <v>0</v>
      </c>
    </row>
    <row r="2">
      <c r="A2" s="3" t="s">
        <v>3</v>
      </c>
    </row>
    <row r="3">
      <c r="A3" s="8" t="str">
        <f>" Actualizado al: "&amp;TEXT(TODAY(),"DD/MM/YYYY")</f>
        <v> Actualizado al: 12/10/2026</v>
      </c>
    </row>
    <row r="5">
      <c r="A5" s="10" t="s">
        <v>14</v>
      </c>
      <c r="B5" s="9"/>
      <c r="C5" s="11"/>
      <c r="E5" s="10" t="s">
        <v>15</v>
      </c>
      <c r="F5" s="9"/>
      <c r="G5" s="9"/>
      <c r="H5" s="9"/>
      <c r="I5" s="9"/>
      <c r="J5" s="9"/>
      <c r="K5" s="9"/>
      <c r="L5" s="11"/>
    </row>
    <row r="6">
      <c r="A6" s="13" t="s">
        <v>16</v>
      </c>
      <c r="B6" s="16"/>
      <c r="C6" s="17">
        <f>COUNTA(Control_Plantillas!$A$4:$A$59)</f>
        <v>41</v>
      </c>
      <c r="E6" s="18" t="s">
        <v>53</v>
      </c>
      <c r="F6" s="18" t="s">
        <v>57</v>
      </c>
      <c r="G6" s="18" t="s">
        <v>59</v>
      </c>
      <c r="H6" s="18" t="s">
        <v>60</v>
      </c>
      <c r="I6" s="18" t="s">
        <v>62</v>
      </c>
      <c r="J6" s="18" t="s">
        <v>63</v>
      </c>
      <c r="K6" s="18" t="s">
        <v>64</v>
      </c>
      <c r="L6" s="18" t="s">
        <v>66</v>
      </c>
    </row>
    <row r="7">
      <c r="A7" s="13" t="s">
        <v>68</v>
      </c>
      <c r="B7" s="16"/>
      <c r="C7" s="22">
        <f>IFERROR(AVERAGE(Control_Plantillas!$Z$4:$Z$59),0)</f>
        <v>0.4719512195</v>
      </c>
      <c r="E7" s="23" t="s">
        <v>18</v>
      </c>
      <c r="F7" s="24">
        <f>COUNTIF(Control_Plantillas!$B$4:$B$59,$E7)</f>
        <v>6</v>
      </c>
      <c r="G7" s="26">
        <f>IFERROR(AVERAGEIF(Control_Plantillas!$B$4:$B$59,$E7,Control_Plantillas!$Z$4:$Z$59),0)</f>
        <v>0.75</v>
      </c>
      <c r="H7" s="24">
        <f>COUNTIFS(Control_Plantillas!$B$4:$B$59,$E7,Control_Plantillas!$I$4:$I$59,"Completado")</f>
        <v>6</v>
      </c>
      <c r="I7" s="24">
        <f>COUNTIFS(Control_Plantillas!$B$4:$B$59,$E7,Control_Plantillas!$L$4:$L$59,"Completado")</f>
        <v>6</v>
      </c>
      <c r="J7" s="24">
        <f>COUNTIFS(Control_Plantillas!$B$4:$B$59,$E7,Control_Plantillas!$O$4:$O$59,"Completado")</f>
        <v>6</v>
      </c>
      <c r="K7" s="24">
        <f>COUNTIFS(Control_Plantillas!$B$4:$B$59,$E7,Control_Plantillas!$R$4:$R$59,"Completado")</f>
        <v>0</v>
      </c>
      <c r="L7" s="24">
        <f>COUNTIFS(Control_Plantillas!$B$4:$B$59,$E7,Control_Plantillas!$U$4:$U$59,"Completado")</f>
        <v>0</v>
      </c>
    </row>
    <row r="8">
      <c r="A8" s="13" t="s">
        <v>130</v>
      </c>
      <c r="B8" s="16"/>
      <c r="C8" s="17">
        <f>COUNTIF(Control_Plantillas!$I$4:$I$59,"Completado")</f>
        <v>23</v>
      </c>
      <c r="E8" s="23" t="s">
        <v>25</v>
      </c>
      <c r="F8" s="24">
        <f>COUNTIF(Control_Plantillas!$B$4:$B$59,$E8)</f>
        <v>2</v>
      </c>
      <c r="G8" s="26">
        <f>IFERROR(AVERAGEIF(Control_Plantillas!$B$4:$B$59,$E8,Control_Plantillas!$Z$4:$Z$59),0)</f>
        <v>0.75</v>
      </c>
      <c r="H8" s="24">
        <f>COUNTIFS(Control_Plantillas!$B$4:$B$59,$E8,Control_Plantillas!$I$4:$I$59,"Completado")</f>
        <v>2</v>
      </c>
      <c r="I8" s="24">
        <f>COUNTIFS(Control_Plantillas!$B$4:$B$59,$E8,Control_Plantillas!$L$4:$L$59,"Completado")</f>
        <v>2</v>
      </c>
      <c r="J8" s="24">
        <f>COUNTIFS(Control_Plantillas!$B$4:$B$59,$E8,Control_Plantillas!$O$4:$O$59,"Completado")</f>
        <v>2</v>
      </c>
      <c r="K8" s="24">
        <f>COUNTIFS(Control_Plantillas!$B$4:$B$59,$E8,Control_Plantillas!$R$4:$R$59,"Completado")</f>
        <v>0</v>
      </c>
      <c r="L8" s="24">
        <f>COUNTIFS(Control_Plantillas!$B$4:$B$59,$E8,Control_Plantillas!$U$4:$U$59,"Completado")</f>
        <v>0</v>
      </c>
    </row>
    <row r="9">
      <c r="A9" s="13" t="s">
        <v>142</v>
      </c>
      <c r="B9" s="16"/>
      <c r="C9" s="17">
        <f>COUNTIF(Control_Plantillas!$I$4:$I$59,"En proceso")</f>
        <v>18</v>
      </c>
      <c r="E9" s="23" t="s">
        <v>31</v>
      </c>
      <c r="F9" s="24">
        <f>COUNTIF(Control_Plantillas!$B$4:$B$59,$E9)</f>
        <v>3</v>
      </c>
      <c r="G9" s="26">
        <f>IFERROR(AVERAGEIF(Control_Plantillas!$B$4:$B$59,$E9,Control_Plantillas!$Z$4:$Z$59),0)</f>
        <v>0.75</v>
      </c>
      <c r="H9" s="24">
        <f>COUNTIFS(Control_Plantillas!$B$4:$B$59,$E9,Control_Plantillas!$I$4:$I$59,"Completado")</f>
        <v>3</v>
      </c>
      <c r="I9" s="24">
        <f>COUNTIFS(Control_Plantillas!$B$4:$B$59,$E9,Control_Plantillas!$L$4:$L$59,"Completado")</f>
        <v>3</v>
      </c>
      <c r="J9" s="24">
        <f>COUNTIFS(Control_Plantillas!$B$4:$B$59,$E9,Control_Plantillas!$O$4:$O$59,"Completado")</f>
        <v>3</v>
      </c>
      <c r="K9" s="24">
        <f>COUNTIFS(Control_Plantillas!$B$4:$B$59,$E9,Control_Plantillas!$R$4:$R$59,"Completado")</f>
        <v>0</v>
      </c>
      <c r="L9" s="24">
        <f>COUNTIFS(Control_Plantillas!$B$4:$B$59,$E9,Control_Plantillas!$U$4:$U$59,"Completado")</f>
        <v>0</v>
      </c>
    </row>
    <row r="10">
      <c r="A10" s="13" t="s">
        <v>143</v>
      </c>
      <c r="B10" s="16"/>
      <c r="C10" s="17">
        <f>COUNTIF(Control_Plantillas!$I$4:$I$59,"No iniciado")</f>
        <v>0</v>
      </c>
      <c r="E10" s="23" t="s">
        <v>37</v>
      </c>
      <c r="F10" s="24">
        <f>COUNTIF(Control_Plantillas!$B$4:$B$59,$E10)</f>
        <v>23</v>
      </c>
      <c r="G10" s="26">
        <f>IFERROR(AVERAGEIF(Control_Plantillas!$B$4:$B$59,$E10,Control_Plantillas!$Z$4:$Z$59),0)</f>
        <v>0.2652173913</v>
      </c>
      <c r="H10" s="24">
        <f>COUNTIFS(Control_Plantillas!$B$4:$B$59,$E10,Control_Plantillas!$I$4:$I$59,"Completado")</f>
        <v>5</v>
      </c>
      <c r="I10" s="24">
        <f>COUNTIFS(Control_Plantillas!$B$4:$B$59,$E10,Control_Plantillas!$L$4:$L$59,"Completado")</f>
        <v>0</v>
      </c>
      <c r="J10" s="24">
        <f>COUNTIFS(Control_Plantillas!$B$4:$B$59,$E10,Control_Plantillas!$O$4:$O$59,"Completado")</f>
        <v>0</v>
      </c>
      <c r="K10" s="24">
        <f>COUNTIFS(Control_Plantillas!$B$4:$B$59,$E10,Control_Plantillas!$R$4:$R$59,"Completado")</f>
        <v>0</v>
      </c>
      <c r="L10" s="24">
        <f>COUNTIFS(Control_Plantillas!$B$4:$B$59,$E10,Control_Plantillas!$U$4:$U$59,"Completado")</f>
        <v>0</v>
      </c>
    </row>
    <row r="11">
      <c r="A11" s="13" t="s">
        <v>146</v>
      </c>
      <c r="B11" s="16"/>
      <c r="C11" s="17">
        <f>COUNTIF(Control_Plantillas!$AC$4:$AC$59,"Bloqueado")</f>
        <v>0</v>
      </c>
      <c r="E11" s="23" t="s">
        <v>43</v>
      </c>
      <c r="F11" s="24">
        <f>COUNTIF(Control_Plantillas!$B$4:$B$59,$E11)</f>
        <v>6</v>
      </c>
      <c r="G11" s="26">
        <f>IFERROR(AVERAGEIF(Control_Plantillas!$B$4:$B$59,$E11,Control_Plantillas!$Z$4:$Z$59),0)</f>
        <v>0.75</v>
      </c>
      <c r="H11" s="24">
        <f>COUNTIFS(Control_Plantillas!$B$4:$B$59,$E11,Control_Plantillas!$I$4:$I$59,"Completado")</f>
        <v>6</v>
      </c>
      <c r="I11" s="24">
        <f>COUNTIFS(Control_Plantillas!$B$4:$B$59,$E11,Control_Plantillas!$L$4:$L$59,"Completado")</f>
        <v>6</v>
      </c>
      <c r="J11" s="24">
        <f>COUNTIFS(Control_Plantillas!$B$4:$B$59,$E11,Control_Plantillas!$O$4:$O$59,"Completado")</f>
        <v>6</v>
      </c>
      <c r="K11" s="24">
        <f>COUNTIFS(Control_Plantillas!$B$4:$B$59,$E11,Control_Plantillas!$R$4:$R$59,"Completado")</f>
        <v>0</v>
      </c>
      <c r="L11" s="24">
        <f>COUNTIFS(Control_Plantillas!$B$4:$B$59,$E11,Control_Plantillas!$U$4:$U$59,"Completado")</f>
        <v>0</v>
      </c>
    </row>
    <row r="12">
      <c r="A12" s="13" t="s">
        <v>147</v>
      </c>
      <c r="B12" s="16"/>
      <c r="C12" s="17">
        <f>COUNTIF(Control_Plantillas!$AC$4:$AC$59,"Vencido")</f>
        <v>24</v>
      </c>
      <c r="E12" s="23" t="s">
        <v>46</v>
      </c>
      <c r="F12" s="24">
        <f>COUNTIF(Control_Plantillas!$B$4:$B$59,$E12)</f>
        <v>1</v>
      </c>
      <c r="G12" s="26">
        <f>IFERROR(AVERAGEIF(Control_Plantillas!$B$4:$B$59,$E12,Control_Plantillas!$Z$4:$Z$59),0)</f>
        <v>0.5</v>
      </c>
      <c r="H12" s="24">
        <f>COUNTIFS(Control_Plantillas!$B$4:$B$59,$E12,Control_Plantillas!$I$4:$I$59,"Completado")</f>
        <v>1</v>
      </c>
      <c r="I12" s="24">
        <f>COUNTIFS(Control_Plantillas!$B$4:$B$59,$E12,Control_Plantillas!$L$4:$L$59,"Completado")</f>
        <v>0</v>
      </c>
      <c r="J12" s="24">
        <f>COUNTIFS(Control_Plantillas!$B$4:$B$59,$E12,Control_Plantillas!$O$4:$O$59,"Completado")</f>
        <v>0</v>
      </c>
      <c r="K12" s="24">
        <f>COUNTIFS(Control_Plantillas!$B$4:$B$59,$E12,Control_Plantillas!$R$4:$R$59,"Completado")</f>
        <v>0</v>
      </c>
      <c r="L12" s="24">
        <f>COUNTIFS(Control_Plantillas!$B$4:$B$59,$E12,Control_Plantillas!$U$4:$U$59,"Completado")</f>
        <v>0</v>
      </c>
    </row>
    <row r="13">
      <c r="A13" s="13" t="s">
        <v>149</v>
      </c>
      <c r="B13" s="16"/>
      <c r="C13" s="17">
        <f>COUNTIF(Control_Plantillas!$AC$4:$AC$59,"En riesgo")</f>
        <v>0</v>
      </c>
      <c r="E13" s="42" t="s">
        <v>151</v>
      </c>
      <c r="F13" s="43">
        <f>SUM(F7:F12)</f>
        <v>41</v>
      </c>
      <c r="G13" s="44">
        <f>IFERROR(AVERAGE(Control_Plantillas!$Z$4:$Z$59),0)</f>
        <v>0.4719512195</v>
      </c>
      <c r="H13" s="43">
        <f t="shared" ref="H13:L13" si="1">SUM(H7:H12)</f>
        <v>23</v>
      </c>
      <c r="I13" s="43">
        <f t="shared" si="1"/>
        <v>17</v>
      </c>
      <c r="J13" s="43">
        <f t="shared" si="1"/>
        <v>17</v>
      </c>
      <c r="K13" s="43">
        <f t="shared" si="1"/>
        <v>0</v>
      </c>
      <c r="L13" s="43">
        <f t="shared" si="1"/>
        <v>0</v>
      </c>
    </row>
    <row r="14">
      <c r="A14" s="13" t="s">
        <v>152</v>
      </c>
      <c r="B14" s="16"/>
      <c r="C14" s="17">
        <f>COUNTIF(Control_Plantillas!$AC$4:$AC$59,"Sin fecha")</f>
        <v>17</v>
      </c>
    </row>
    <row r="15">
      <c r="A15" s="13" t="s">
        <v>153</v>
      </c>
      <c r="B15" s="16"/>
      <c r="C15" s="17">
        <f>COUNTIF(Control_Plantillas!$AC$4:$AC$59,"Cerrado")</f>
        <v>0</v>
      </c>
    </row>
    <row r="18">
      <c r="E18" s="10" t="s">
        <v>155</v>
      </c>
      <c r="F18" s="9"/>
      <c r="G18" s="11"/>
    </row>
    <row r="19">
      <c r="E19" s="45" t="s">
        <v>157</v>
      </c>
      <c r="F19" s="45" t="s">
        <v>57</v>
      </c>
      <c r="G19" s="45" t="s">
        <v>158</v>
      </c>
    </row>
    <row r="20">
      <c r="E20" s="23" t="s">
        <v>22</v>
      </c>
      <c r="F20" s="24">
        <f>COUNTIF(Control_Plantillas!$Y$4:$Y$59,$E20)</f>
        <v>18</v>
      </c>
      <c r="G20" s="26">
        <f t="shared" ref="G20:G25" si="2">IFERROR($F20/SUM($F$20:$F$25),0)</f>
        <v>0.4390243902</v>
      </c>
    </row>
    <row r="21" ht="15.75" customHeight="1">
      <c r="E21" s="23" t="s">
        <v>28</v>
      </c>
      <c r="F21" s="24">
        <f>COUNTIF(Control_Plantillas!$Y$4:$Y$59,$E21)</f>
        <v>6</v>
      </c>
      <c r="G21" s="26">
        <f t="shared" si="2"/>
        <v>0.1463414634</v>
      </c>
    </row>
    <row r="22" ht="15.75" customHeight="1">
      <c r="E22" s="23" t="s">
        <v>34</v>
      </c>
      <c r="F22" s="24">
        <f>COUNTIF(Control_Plantillas!$Y$4:$Y$59,$E22)</f>
        <v>0</v>
      </c>
      <c r="G22" s="26">
        <f t="shared" si="2"/>
        <v>0</v>
      </c>
    </row>
    <row r="23" ht="15.75" customHeight="1">
      <c r="E23" s="23" t="s">
        <v>41</v>
      </c>
      <c r="F23" s="24">
        <f>COUNTIF(Control_Plantillas!$Y$4:$Y$59,$E23)</f>
        <v>17</v>
      </c>
      <c r="G23" s="26">
        <f t="shared" si="2"/>
        <v>0.4146341463</v>
      </c>
    </row>
    <row r="24" ht="15.75" customHeight="1">
      <c r="E24" s="23" t="s">
        <v>45</v>
      </c>
      <c r="F24" s="24">
        <f>COUNTIF(Control_Plantillas!$Y$4:$Y$59,$E24)</f>
        <v>0</v>
      </c>
      <c r="G24" s="26">
        <f t="shared" si="2"/>
        <v>0</v>
      </c>
    </row>
    <row r="25" ht="15.75" customHeight="1">
      <c r="E25" s="23" t="s">
        <v>50</v>
      </c>
      <c r="F25" s="24">
        <f>COUNTIF(Control_Plantillas!$Y$4:$Y$59,$E25)</f>
        <v>0</v>
      </c>
      <c r="G25" s="26">
        <f t="shared" si="2"/>
        <v>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5:C5"/>
    <mergeCell ref="E5:L5"/>
    <mergeCell ref="E18:G1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6" width="22.0"/>
    <col customWidth="1" min="7" max="26" width="8.71"/>
  </cols>
  <sheetData>
    <row r="1" ht="18.0" customHeight="1">
      <c r="A1" s="4" t="s">
        <v>1</v>
      </c>
    </row>
    <row r="3">
      <c r="A3" s="7" t="s">
        <v>4</v>
      </c>
      <c r="B3" s="9"/>
      <c r="C3" s="9"/>
      <c r="D3" s="9"/>
      <c r="E3" s="9"/>
      <c r="F3" s="11"/>
    </row>
    <row r="4">
      <c r="A4" s="14" t="s">
        <v>17</v>
      </c>
    </row>
    <row r="5">
      <c r="A5" s="14" t="s">
        <v>21</v>
      </c>
    </row>
    <row r="6">
      <c r="A6" s="14" t="s">
        <v>24</v>
      </c>
    </row>
    <row r="7">
      <c r="A7" s="14" t="s">
        <v>29</v>
      </c>
    </row>
    <row r="9">
      <c r="A9" s="7" t="s">
        <v>35</v>
      </c>
      <c r="B9" s="9"/>
      <c r="C9" s="9"/>
      <c r="D9" s="9"/>
      <c r="E9" s="9"/>
      <c r="F9" s="11"/>
    </row>
    <row r="10">
      <c r="A10" s="14" t="s">
        <v>39</v>
      </c>
    </row>
    <row r="11">
      <c r="A11" s="14" t="s">
        <v>47</v>
      </c>
    </row>
    <row r="12">
      <c r="A12" s="14" t="s">
        <v>51</v>
      </c>
    </row>
    <row r="13">
      <c r="A13" s="14" t="s">
        <v>54</v>
      </c>
    </row>
    <row r="14">
      <c r="A14" s="14" t="s">
        <v>56</v>
      </c>
    </row>
    <row r="15">
      <c r="A15" s="14" t="s">
        <v>58</v>
      </c>
    </row>
    <row r="17">
      <c r="A17" s="7" t="s">
        <v>61</v>
      </c>
      <c r="B17" s="9"/>
      <c r="C17" s="9"/>
      <c r="D17" s="9"/>
      <c r="E17" s="9"/>
      <c r="F17" s="11"/>
    </row>
    <row r="18">
      <c r="A18" s="14" t="s">
        <v>65</v>
      </c>
    </row>
    <row r="19">
      <c r="A19" s="14" t="s">
        <v>69</v>
      </c>
    </row>
    <row r="20">
      <c r="A20" s="14" t="s">
        <v>70</v>
      </c>
    </row>
    <row r="21" ht="15.75" customHeight="1">
      <c r="A21" s="14" t="s">
        <v>71</v>
      </c>
    </row>
    <row r="22" ht="15.75" customHeight="1">
      <c r="A22" s="14" t="s">
        <v>73</v>
      </c>
    </row>
    <row r="23" ht="15.75" customHeight="1"/>
    <row r="24" ht="15.75" customHeight="1">
      <c r="A24" s="7" t="s">
        <v>74</v>
      </c>
      <c r="B24" s="9"/>
      <c r="C24" s="9"/>
      <c r="D24" s="9"/>
      <c r="E24" s="9"/>
      <c r="F24" s="11"/>
    </row>
    <row r="25" ht="15.75" customHeight="1">
      <c r="A25" s="14" t="s">
        <v>77</v>
      </c>
    </row>
    <row r="26" ht="15.75" customHeight="1">
      <c r="A26" s="14" t="s">
        <v>79</v>
      </c>
    </row>
    <row r="27" ht="15.75" customHeight="1">
      <c r="A27" s="14" t="s">
        <v>80</v>
      </c>
    </row>
    <row r="28" ht="15.75" customHeight="1">
      <c r="A28" s="14" t="s">
        <v>82</v>
      </c>
    </row>
    <row r="29" ht="15.75" customHeight="1">
      <c r="A29" s="14" t="s">
        <v>83</v>
      </c>
    </row>
    <row r="30" ht="15.75" customHeight="1">
      <c r="A30" s="14" t="s">
        <v>84</v>
      </c>
    </row>
    <row r="31" ht="15.75" customHeight="1"/>
    <row r="32" ht="15.75" customHeight="1">
      <c r="A32" s="7" t="s">
        <v>86</v>
      </c>
      <c r="B32" s="9"/>
      <c r="C32" s="9"/>
      <c r="D32" s="9"/>
      <c r="E32" s="9"/>
      <c r="F32" s="11"/>
    </row>
    <row r="33" ht="15.75" customHeight="1">
      <c r="A33" s="14" t="s">
        <v>87</v>
      </c>
    </row>
    <row r="34" ht="15.75" customHeight="1">
      <c r="A34" s="14" t="s">
        <v>89</v>
      </c>
    </row>
    <row r="35" ht="15.75" customHeight="1">
      <c r="A35" s="14" t="s">
        <v>92</v>
      </c>
    </row>
    <row r="36" ht="15.75" customHeight="1">
      <c r="A36" s="14" t="s">
        <v>95</v>
      </c>
    </row>
    <row r="37" ht="15.75" customHeight="1">
      <c r="A37" s="14" t="s">
        <v>97</v>
      </c>
    </row>
    <row r="38" ht="15.75" customHeight="1"/>
    <row r="39" ht="15.75" customHeight="1">
      <c r="A39" s="7" t="s">
        <v>98</v>
      </c>
      <c r="B39" s="9"/>
      <c r="C39" s="9"/>
      <c r="D39" s="9"/>
      <c r="E39" s="9"/>
      <c r="F39" s="11"/>
    </row>
    <row r="40" ht="15.75" customHeight="1">
      <c r="A40" s="14" t="s">
        <v>105</v>
      </c>
    </row>
    <row r="41" ht="15.75" customHeight="1">
      <c r="A41" s="14" t="s">
        <v>110</v>
      </c>
    </row>
    <row r="42" ht="15.75" customHeight="1">
      <c r="A42" s="14" t="s">
        <v>114</v>
      </c>
    </row>
    <row r="43" ht="15.75" customHeight="1">
      <c r="A43" s="14" t="s">
        <v>118</v>
      </c>
    </row>
    <row r="44" ht="15.75" customHeight="1">
      <c r="A44" s="14" t="s">
        <v>120</v>
      </c>
    </row>
    <row r="45" ht="15.75" customHeight="1"/>
    <row r="46" ht="15.75" customHeight="1">
      <c r="A46" s="7" t="s">
        <v>123</v>
      </c>
      <c r="B46" s="9"/>
      <c r="C46" s="9"/>
      <c r="D46" s="9"/>
      <c r="E46" s="9"/>
      <c r="F46" s="11"/>
    </row>
    <row r="47" ht="15.75" customHeight="1">
      <c r="A47" s="29" t="s">
        <v>88</v>
      </c>
      <c r="C47" s="31" t="s">
        <v>129</v>
      </c>
      <c r="D47" s="32"/>
      <c r="E47" s="32"/>
      <c r="F47" s="32"/>
    </row>
    <row r="48" ht="15.75" customHeight="1">
      <c r="A48" s="29" t="s">
        <v>53</v>
      </c>
      <c r="C48" s="31" t="s">
        <v>31</v>
      </c>
      <c r="D48" s="32"/>
      <c r="E48" s="32"/>
      <c r="F48" s="32"/>
    </row>
    <row r="49" ht="15.75" customHeight="1">
      <c r="A49" s="29" t="s">
        <v>91</v>
      </c>
      <c r="C49" s="31" t="s">
        <v>133</v>
      </c>
      <c r="D49" s="32"/>
      <c r="E49" s="32"/>
      <c r="F49" s="32"/>
    </row>
    <row r="50" ht="15.75" customHeight="1">
      <c r="A50" s="29" t="s">
        <v>94</v>
      </c>
      <c r="C50" s="31" t="s">
        <v>134</v>
      </c>
      <c r="D50" s="32"/>
      <c r="E50" s="32"/>
      <c r="F50" s="32"/>
    </row>
    <row r="51" ht="15.75" customHeight="1">
      <c r="A51" s="29" t="s">
        <v>135</v>
      </c>
      <c r="C51" s="31" t="s">
        <v>136</v>
      </c>
      <c r="D51" s="32"/>
      <c r="E51" s="32"/>
      <c r="F51" s="32"/>
    </row>
    <row r="52" ht="15.75" customHeight="1">
      <c r="A52" s="29" t="s">
        <v>9</v>
      </c>
      <c r="C52" s="31" t="s">
        <v>19</v>
      </c>
      <c r="D52" s="32"/>
      <c r="E52" s="32"/>
      <c r="F52" s="32"/>
    </row>
    <row r="53" ht="15.75" customHeight="1">
      <c r="A53" s="29" t="s">
        <v>99</v>
      </c>
      <c r="C53" s="31" t="s">
        <v>30</v>
      </c>
      <c r="D53" s="32"/>
      <c r="E53" s="32"/>
      <c r="F53" s="32"/>
    </row>
    <row r="54" ht="15.75" customHeight="1">
      <c r="A54" s="29" t="s">
        <v>100</v>
      </c>
      <c r="C54" s="31" t="s">
        <v>137</v>
      </c>
      <c r="D54" s="32"/>
      <c r="E54" s="32"/>
      <c r="F54" s="32"/>
    </row>
    <row r="55" ht="15.75" customHeight="1">
      <c r="A55" s="29" t="s">
        <v>101</v>
      </c>
      <c r="C55" s="31" t="s">
        <v>138</v>
      </c>
      <c r="D55" s="32"/>
      <c r="E55" s="32"/>
      <c r="F55" s="32"/>
    </row>
    <row r="56" ht="15.75" customHeight="1">
      <c r="A56" s="29" t="s">
        <v>102</v>
      </c>
      <c r="C56" s="31" t="s">
        <v>23</v>
      </c>
      <c r="D56" s="32"/>
      <c r="E56" s="32"/>
      <c r="F56" s="32"/>
    </row>
    <row r="57" ht="15.75" customHeight="1">
      <c r="A57" s="29" t="s">
        <v>103</v>
      </c>
      <c r="C57" s="31" t="s">
        <v>139</v>
      </c>
      <c r="D57" s="32"/>
      <c r="E57" s="32"/>
      <c r="F57" s="32"/>
    </row>
    <row r="58" ht="15.75" customHeight="1">
      <c r="A58" s="29" t="s">
        <v>140</v>
      </c>
      <c r="C58" s="31" t="s">
        <v>141</v>
      </c>
      <c r="D58" s="32"/>
      <c r="E58" s="32"/>
      <c r="F58" s="32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0">
    <mergeCell ref="A3:F3"/>
    <mergeCell ref="A4:F4"/>
    <mergeCell ref="A5:F5"/>
    <mergeCell ref="A6:F6"/>
    <mergeCell ref="A7:F7"/>
    <mergeCell ref="A9:F9"/>
    <mergeCell ref="A10:F10"/>
    <mergeCell ref="A11:F11"/>
    <mergeCell ref="A12:F12"/>
    <mergeCell ref="A13:F13"/>
    <mergeCell ref="A14:F14"/>
    <mergeCell ref="A15:F15"/>
    <mergeCell ref="A17:F17"/>
    <mergeCell ref="A18:F18"/>
    <mergeCell ref="A19:F19"/>
    <mergeCell ref="A20:F20"/>
    <mergeCell ref="A21:F21"/>
    <mergeCell ref="A22:F22"/>
    <mergeCell ref="A24:F24"/>
    <mergeCell ref="A25:F25"/>
    <mergeCell ref="A26:F26"/>
    <mergeCell ref="A27:F27"/>
    <mergeCell ref="A28:F28"/>
    <mergeCell ref="A29:F29"/>
    <mergeCell ref="A30:F30"/>
    <mergeCell ref="A32:F32"/>
    <mergeCell ref="A33:F33"/>
    <mergeCell ref="A34:F34"/>
    <mergeCell ref="A35:F35"/>
    <mergeCell ref="A36:F36"/>
    <mergeCell ref="A37:F37"/>
    <mergeCell ref="A39:F39"/>
    <mergeCell ref="A40:F40"/>
    <mergeCell ref="A41:F41"/>
    <mergeCell ref="A42:F42"/>
    <mergeCell ref="C51:F51"/>
    <mergeCell ref="C52:F52"/>
    <mergeCell ref="C53:F53"/>
    <mergeCell ref="C54:F54"/>
    <mergeCell ref="C55:F55"/>
    <mergeCell ref="C56:F56"/>
    <mergeCell ref="C57:F57"/>
    <mergeCell ref="C58:F58"/>
    <mergeCell ref="A43:F43"/>
    <mergeCell ref="A44:F44"/>
    <mergeCell ref="A46:F46"/>
    <mergeCell ref="C47:F47"/>
    <mergeCell ref="C48:F48"/>
    <mergeCell ref="C49:F49"/>
    <mergeCell ref="C50:F50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3" width="8.71"/>
    <col customWidth="1" min="4" max="4" width="20.0"/>
    <col customWidth="1" min="5" max="7" width="8.71"/>
    <col customWidth="1" min="8" max="8" width="28.0"/>
    <col customWidth="1" min="9" max="9" width="8.71"/>
    <col customWidth="1" min="10" max="10" width="30.0"/>
    <col customWidth="1" min="11" max="11" width="8.71"/>
    <col customWidth="1" min="12" max="12" width="12.0"/>
    <col customWidth="1" min="13" max="26" width="8.71"/>
  </cols>
  <sheetData>
    <row r="1">
      <c r="A1" s="2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>
      <c r="A2" s="6" t="s">
        <v>5</v>
      </c>
      <c r="B2" s="6" t="s">
        <v>6</v>
      </c>
      <c r="C2" s="5"/>
      <c r="D2" s="6" t="s">
        <v>8</v>
      </c>
      <c r="E2" s="5"/>
      <c r="F2" s="6" t="s">
        <v>9</v>
      </c>
      <c r="G2" s="5"/>
      <c r="H2" s="6" t="s">
        <v>10</v>
      </c>
      <c r="I2" s="5"/>
      <c r="J2" s="6" t="s">
        <v>11</v>
      </c>
      <c r="K2" s="5"/>
      <c r="L2" s="6" t="s">
        <v>12</v>
      </c>
    </row>
    <row r="3">
      <c r="A3" s="5" t="s">
        <v>13</v>
      </c>
      <c r="B3" s="12">
        <v>0.0</v>
      </c>
      <c r="C3" s="5"/>
      <c r="D3" s="5" t="s">
        <v>18</v>
      </c>
      <c r="E3" s="5"/>
      <c r="F3" s="12" t="s">
        <v>19</v>
      </c>
      <c r="G3" s="5"/>
      <c r="H3" s="5" t="s">
        <v>20</v>
      </c>
      <c r="I3" s="5"/>
      <c r="J3" s="5" t="s">
        <v>22</v>
      </c>
      <c r="K3" s="5"/>
      <c r="L3" s="12">
        <v>0.4</v>
      </c>
    </row>
    <row r="4">
      <c r="A4" s="5" t="s">
        <v>23</v>
      </c>
      <c r="B4" s="5">
        <v>0.5</v>
      </c>
      <c r="C4" s="5"/>
      <c r="D4" s="5" t="s">
        <v>25</v>
      </c>
      <c r="E4" s="5"/>
      <c r="F4" s="5" t="s">
        <v>26</v>
      </c>
      <c r="G4" s="5"/>
      <c r="H4" s="5" t="s">
        <v>27</v>
      </c>
      <c r="I4" s="5"/>
      <c r="J4" s="5" t="s">
        <v>28</v>
      </c>
      <c r="K4" s="5"/>
      <c r="L4" s="5">
        <v>0.2</v>
      </c>
    </row>
    <row r="5">
      <c r="A5" s="5" t="s">
        <v>30</v>
      </c>
      <c r="B5" s="5">
        <v>1.0</v>
      </c>
      <c r="C5" s="5"/>
      <c r="D5" s="5" t="s">
        <v>31</v>
      </c>
      <c r="E5" s="5"/>
      <c r="F5" s="5" t="s">
        <v>32</v>
      </c>
      <c r="G5" s="5"/>
      <c r="H5" s="5" t="s">
        <v>33</v>
      </c>
      <c r="I5" s="5"/>
      <c r="J5" s="5" t="s">
        <v>34</v>
      </c>
      <c r="K5" s="5"/>
      <c r="L5" s="5">
        <v>0.15</v>
      </c>
    </row>
    <row r="6">
      <c r="A6" s="5" t="s">
        <v>36</v>
      </c>
      <c r="B6" s="5">
        <v>0.0</v>
      </c>
      <c r="C6" s="5"/>
      <c r="D6" s="5" t="s">
        <v>37</v>
      </c>
      <c r="E6" s="5"/>
      <c r="F6" s="5" t="s">
        <v>38</v>
      </c>
      <c r="G6" s="5"/>
      <c r="H6" s="5" t="s">
        <v>40</v>
      </c>
      <c r="I6" s="5"/>
      <c r="J6" s="5" t="s">
        <v>41</v>
      </c>
      <c r="K6" s="5"/>
      <c r="L6" s="5">
        <v>0.15</v>
      </c>
    </row>
    <row r="7">
      <c r="A7" s="5" t="s">
        <v>42</v>
      </c>
      <c r="B7" s="5">
        <v>1.0</v>
      </c>
      <c r="C7" s="5"/>
      <c r="D7" s="5" t="s">
        <v>43</v>
      </c>
      <c r="E7" s="5"/>
      <c r="F7" s="5"/>
      <c r="G7" s="5"/>
      <c r="H7" s="5" t="s">
        <v>44</v>
      </c>
      <c r="I7" s="5"/>
      <c r="J7" s="5" t="s">
        <v>45</v>
      </c>
      <c r="K7" s="5"/>
      <c r="L7" s="5">
        <v>0.1</v>
      </c>
    </row>
    <row r="8">
      <c r="A8" s="5"/>
      <c r="B8" s="5"/>
      <c r="C8" s="5"/>
      <c r="D8" s="5" t="s">
        <v>46</v>
      </c>
      <c r="E8" s="5"/>
      <c r="F8" s="5"/>
      <c r="G8" s="5"/>
      <c r="H8" s="5" t="s">
        <v>48</v>
      </c>
      <c r="I8" s="5"/>
      <c r="J8" s="5" t="s">
        <v>50</v>
      </c>
      <c r="K8" s="5"/>
      <c r="L8" s="5">
        <v>0.0</v>
      </c>
    </row>
    <row r="9">
      <c r="A9" s="5"/>
      <c r="B9" s="5"/>
      <c r="C9" s="5"/>
      <c r="D9" s="5"/>
      <c r="E9" s="5"/>
      <c r="F9" s="5"/>
      <c r="G9" s="5"/>
      <c r="H9" s="5" t="s">
        <v>52</v>
      </c>
      <c r="I9" s="5"/>
      <c r="J9" s="19" t="s">
        <v>55</v>
      </c>
      <c r="K9" s="5"/>
      <c r="L9" s="12">
        <f>SUM(L3:L7)</f>
        <v>1</v>
      </c>
    </row>
    <row r="10">
      <c r="A10" s="5"/>
      <c r="B10" s="5"/>
      <c r="C10" s="5"/>
      <c r="D10" s="5"/>
      <c r="E10" s="5"/>
      <c r="F10" s="5"/>
      <c r="G10" s="5"/>
      <c r="H10" s="5" t="s">
        <v>76</v>
      </c>
      <c r="I10" s="5"/>
      <c r="J10" s="5"/>
      <c r="K10" s="5"/>
      <c r="L10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0.0"/>
    <col customWidth="1" min="2" max="2" width="19.0"/>
    <col customWidth="1" min="3" max="3" width="10.0"/>
    <col customWidth="1" min="4" max="4" width="44.0"/>
    <col customWidth="1" min="5" max="5" width="24.0"/>
    <col customWidth="1" min="6" max="6" width="18.57"/>
    <col customWidth="1" min="7" max="7" width="23.29"/>
    <col customWidth="1" min="8" max="8" width="13.71"/>
    <col customWidth="1" min="9" max="9" width="13.0"/>
    <col customWidth="1" min="10" max="10" width="15.0"/>
    <col customWidth="1" min="11" max="12" width="13.0"/>
    <col customWidth="1" min="13" max="13" width="15.0"/>
    <col customWidth="1" min="14" max="15" width="13.0"/>
    <col customWidth="1" min="16" max="16" width="15.0"/>
    <col customWidth="1" min="17" max="18" width="13.0"/>
    <col customWidth="1" min="19" max="19" width="15.0"/>
    <col customWidth="1" min="20" max="21" width="13.0"/>
    <col customWidth="1" min="22" max="22" width="15.0"/>
    <col customWidth="1" min="23" max="23" width="13.0"/>
    <col customWidth="1" min="24" max="24" width="8.0"/>
    <col customWidth="1" min="25" max="25" width="26.0"/>
    <col customWidth="1" min="26" max="26" width="10.0"/>
    <col customWidth="1" min="27" max="27" width="15.0"/>
    <col customWidth="1" min="28" max="29" width="12.0"/>
    <col customWidth="1" min="30" max="30" width="42.0"/>
  </cols>
  <sheetData>
    <row r="1" ht="25.5" customHeight="1">
      <c r="A1" s="15" t="s">
        <v>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11"/>
    </row>
    <row r="2" ht="18.0" customHeight="1">
      <c r="A2" s="20" t="s">
        <v>49</v>
      </c>
      <c r="B2" s="9"/>
      <c r="C2" s="9"/>
      <c r="D2" s="9"/>
      <c r="E2" s="9"/>
      <c r="F2" s="9"/>
      <c r="G2" s="9"/>
      <c r="H2" s="11"/>
      <c r="I2" s="21" t="s">
        <v>67</v>
      </c>
      <c r="J2" s="9"/>
      <c r="K2" s="11"/>
      <c r="L2" s="21" t="s">
        <v>72</v>
      </c>
      <c r="M2" s="9"/>
      <c r="N2" s="11"/>
      <c r="O2" s="21" t="s">
        <v>75</v>
      </c>
      <c r="P2" s="9"/>
      <c r="Q2" s="11"/>
      <c r="R2" s="21" t="s">
        <v>78</v>
      </c>
      <c r="S2" s="9"/>
      <c r="T2" s="11"/>
      <c r="U2" s="21" t="s">
        <v>81</v>
      </c>
      <c r="V2" s="9"/>
      <c r="W2" s="11"/>
      <c r="X2" s="20" t="s">
        <v>85</v>
      </c>
      <c r="Y2" s="9"/>
      <c r="Z2" s="9"/>
      <c r="AA2" s="9"/>
      <c r="AB2" s="9"/>
      <c r="AC2" s="9"/>
      <c r="AD2" s="11"/>
    </row>
    <row r="3" ht="33.75" customHeight="1">
      <c r="A3" s="25" t="s">
        <v>88</v>
      </c>
      <c r="B3" s="25" t="s">
        <v>53</v>
      </c>
      <c r="C3" s="25" t="s">
        <v>90</v>
      </c>
      <c r="D3" s="25" t="s">
        <v>91</v>
      </c>
      <c r="E3" s="25" t="s">
        <v>93</v>
      </c>
      <c r="F3" s="25" t="s">
        <v>94</v>
      </c>
      <c r="G3" s="27" t="s">
        <v>96</v>
      </c>
      <c r="H3" s="25" t="s">
        <v>9</v>
      </c>
      <c r="I3" s="25" t="s">
        <v>99</v>
      </c>
      <c r="J3" s="25" t="s">
        <v>100</v>
      </c>
      <c r="K3" s="25" t="s">
        <v>101</v>
      </c>
      <c r="L3" s="25" t="s">
        <v>102</v>
      </c>
      <c r="M3" s="25" t="s">
        <v>103</v>
      </c>
      <c r="N3" s="25" t="s">
        <v>104</v>
      </c>
      <c r="O3" s="25" t="s">
        <v>106</v>
      </c>
      <c r="P3" s="25" t="s">
        <v>107</v>
      </c>
      <c r="Q3" s="25" t="s">
        <v>108</v>
      </c>
      <c r="R3" s="25" t="s">
        <v>109</v>
      </c>
      <c r="S3" s="25" t="s">
        <v>111</v>
      </c>
      <c r="T3" s="25" t="s">
        <v>112</v>
      </c>
      <c r="U3" s="25" t="s">
        <v>113</v>
      </c>
      <c r="V3" s="25" t="s">
        <v>115</v>
      </c>
      <c r="W3" s="25" t="s">
        <v>116</v>
      </c>
      <c r="X3" s="25" t="s">
        <v>117</v>
      </c>
      <c r="Y3" s="25" t="s">
        <v>119</v>
      </c>
      <c r="Z3" s="25" t="s">
        <v>59</v>
      </c>
      <c r="AA3" s="25" t="s">
        <v>121</v>
      </c>
      <c r="AB3" s="25" t="s">
        <v>122</v>
      </c>
      <c r="AC3" s="25" t="s">
        <v>124</v>
      </c>
      <c r="AD3" s="25" t="s">
        <v>125</v>
      </c>
    </row>
    <row r="4" ht="25.5" customHeight="1">
      <c r="A4" s="28" t="s">
        <v>126</v>
      </c>
      <c r="B4" s="28" t="s">
        <v>18</v>
      </c>
      <c r="C4" s="28" t="s">
        <v>127</v>
      </c>
      <c r="D4" s="30" t="s">
        <v>128</v>
      </c>
      <c r="E4" s="33" t="s">
        <v>20</v>
      </c>
      <c r="F4" s="34" t="s">
        <v>131</v>
      </c>
      <c r="G4" s="35" t="s">
        <v>132</v>
      </c>
      <c r="H4" s="28" t="s">
        <v>26</v>
      </c>
      <c r="I4" s="28" t="s">
        <v>30</v>
      </c>
      <c r="J4" s="36">
        <v>46268.0</v>
      </c>
      <c r="K4" s="36">
        <v>46268.0</v>
      </c>
      <c r="L4" s="28" t="s">
        <v>30</v>
      </c>
      <c r="M4" s="36">
        <v>46268.0</v>
      </c>
      <c r="N4" s="36">
        <v>46268.0</v>
      </c>
      <c r="O4" s="28" t="s">
        <v>30</v>
      </c>
      <c r="P4" s="36">
        <v>46268.0</v>
      </c>
      <c r="Q4" s="36">
        <v>46268.0</v>
      </c>
      <c r="R4" s="28" t="s">
        <v>13</v>
      </c>
      <c r="S4" s="36"/>
      <c r="T4" s="36"/>
      <c r="U4" s="28" t="s">
        <v>13</v>
      </c>
      <c r="V4" s="36"/>
      <c r="W4" s="36"/>
      <c r="X4" s="28">
        <f t="shared" ref="X4:X44" si="1">IF(OR($U4="Completado",$U4="No aplica"),6,IF(OR($R4="Completado",$R4="No aplica"),5,IF(OR($O4="Completado",$O4="No aplica"),4,IF(OR($L4="Completado",$L4="No aplica"),3,IF(OR($I4="Completado",$I4="No aplica"),2,1)))))</f>
        <v>4</v>
      </c>
      <c r="Y4" s="37" t="str">
        <f t="array" ref="Y4">INDEX(Cat_Etapas,$X4)</f>
        <v>4. Ambiente Sandbox</v>
      </c>
      <c r="Z4" s="38">
        <f t="array" ref="Z4">ROUND(Catalogos!$L$3*IFERROR(INDEX(Cat_Factor,MATCH($I4,Cat_Estatus,0)),0)+Catalogos!$L$4*IFERROR(INDEX(Cat_Factor,MATCH($L4,Cat_Estatus,0)),0)+Catalogos!$L$5*IFERROR(INDEX(Cat_Factor,MATCH($O4,Cat_Estatus,0)),0)+Catalogos!$L$6*IFERROR(INDEX(Cat_Factor,MATCH($R4,Cat_Estatus,0)),0)+Catalogos!$L$7*IFERROR(INDEX(Cat_Factor,MATCH($U4,Cat_Estatus,0)),0),4)</f>
        <v>0.75</v>
      </c>
      <c r="AA4" s="39" t="str">
        <f t="shared" ref="AA4:AA44" si="2">IF($X4=6,"",IF(IFERROR(INDEX($I4:$V4,3*$X4-1),0)=0,"",INDEX($I4:$V4,3*$X4-1)))</f>
        <v/>
      </c>
      <c r="AB4" s="28" t="str">
        <f t="shared" ref="AB4:AB44" si="3">IF($AA4="","",$AA4-TODAY())</f>
        <v/>
      </c>
      <c r="AC4" s="28" t="str">
        <f t="shared" ref="AC4:AC44" si="4">IF($X4=6,"Cerrado",IF(OR($I4="Bloqueado",$L4="Bloqueado",$O4="Bloqueado",$R4="Bloqueado",$U4="Bloqueado"),"Bloqueado",IF($AA4="","Sin fecha",IF($AB4&lt;0,"Vencido",IF($AB4&lt;=7,"En riesgo","En tiempo")))))</f>
        <v>Sin fecha</v>
      </c>
      <c r="AD4" s="30"/>
    </row>
    <row r="5" ht="25.5" customHeight="1">
      <c r="A5" s="28" t="s">
        <v>144</v>
      </c>
      <c r="B5" s="28" t="s">
        <v>18</v>
      </c>
      <c r="C5" s="28" t="s">
        <v>127</v>
      </c>
      <c r="D5" s="30" t="s">
        <v>145</v>
      </c>
      <c r="E5" s="33" t="s">
        <v>20</v>
      </c>
      <c r="F5" s="34" t="s">
        <v>131</v>
      </c>
      <c r="G5" s="35" t="s">
        <v>132</v>
      </c>
      <c r="H5" s="28" t="s">
        <v>26</v>
      </c>
      <c r="I5" s="40" t="s">
        <v>30</v>
      </c>
      <c r="J5" s="41">
        <v>46282.0</v>
      </c>
      <c r="K5" s="41">
        <v>46298.0</v>
      </c>
      <c r="L5" s="40" t="s">
        <v>30</v>
      </c>
      <c r="M5" s="41"/>
      <c r="N5" s="36"/>
      <c r="O5" s="40" t="s">
        <v>30</v>
      </c>
      <c r="P5" s="41"/>
      <c r="Q5" s="36"/>
      <c r="R5" s="40" t="s">
        <v>13</v>
      </c>
      <c r="S5" s="36"/>
      <c r="T5" s="36"/>
      <c r="U5" s="28" t="s">
        <v>13</v>
      </c>
      <c r="V5" s="36"/>
      <c r="W5" s="36"/>
      <c r="X5" s="28">
        <f t="shared" si="1"/>
        <v>4</v>
      </c>
      <c r="Y5" s="37" t="str">
        <f t="array" ref="Y5">INDEX(Cat_Etapas,$X5)</f>
        <v>4. Ambiente Sandbox</v>
      </c>
      <c r="Z5" s="38">
        <f t="array" ref="Z5">ROUND(Catalogos!$L$3*IFERROR(INDEX(Cat_Factor,MATCH($I5,Cat_Estatus,0)),0)+Catalogos!$L$4*IFERROR(INDEX(Cat_Factor,MATCH($L5,Cat_Estatus,0)),0)+Catalogos!$L$5*IFERROR(INDEX(Cat_Factor,MATCH($O5,Cat_Estatus,0)),0)+Catalogos!$L$6*IFERROR(INDEX(Cat_Factor,MATCH($R5,Cat_Estatus,0)),0)+Catalogos!$L$7*IFERROR(INDEX(Cat_Factor,MATCH($U5,Cat_Estatus,0)),0),4)</f>
        <v>0.75</v>
      </c>
      <c r="AA5" s="39" t="str">
        <f t="shared" si="2"/>
        <v/>
      </c>
      <c r="AB5" s="28" t="str">
        <f t="shared" si="3"/>
        <v/>
      </c>
      <c r="AC5" s="28" t="str">
        <f t="shared" si="4"/>
        <v>Sin fecha</v>
      </c>
      <c r="AD5" s="30"/>
    </row>
    <row r="6" ht="25.5" customHeight="1">
      <c r="A6" s="28" t="s">
        <v>148</v>
      </c>
      <c r="B6" s="28" t="s">
        <v>18</v>
      </c>
      <c r="C6" s="28" t="s">
        <v>127</v>
      </c>
      <c r="D6" s="30" t="s">
        <v>150</v>
      </c>
      <c r="E6" s="33" t="s">
        <v>20</v>
      </c>
      <c r="F6" s="34" t="s">
        <v>131</v>
      </c>
      <c r="G6" s="35" t="s">
        <v>132</v>
      </c>
      <c r="H6" s="28" t="s">
        <v>26</v>
      </c>
      <c r="I6" s="28" t="s">
        <v>30</v>
      </c>
      <c r="J6" s="36">
        <v>46268.0</v>
      </c>
      <c r="K6" s="36">
        <v>46268.0</v>
      </c>
      <c r="L6" s="28" t="s">
        <v>30</v>
      </c>
      <c r="M6" s="36">
        <v>46268.0</v>
      </c>
      <c r="N6" s="36">
        <v>46268.0</v>
      </c>
      <c r="O6" s="28" t="s">
        <v>30</v>
      </c>
      <c r="P6" s="36">
        <v>46268.0</v>
      </c>
      <c r="Q6" s="36">
        <v>46268.0</v>
      </c>
      <c r="R6" s="28" t="s">
        <v>13</v>
      </c>
      <c r="S6" s="36"/>
      <c r="T6" s="36"/>
      <c r="U6" s="28" t="s">
        <v>13</v>
      </c>
      <c r="V6" s="36"/>
      <c r="W6" s="36"/>
      <c r="X6" s="28">
        <f t="shared" si="1"/>
        <v>4</v>
      </c>
      <c r="Y6" s="37" t="str">
        <f t="array" ref="Y6">INDEX(Cat_Etapas,$X6)</f>
        <v>4. Ambiente Sandbox</v>
      </c>
      <c r="Z6" s="38">
        <f t="array" ref="Z6">ROUND(Catalogos!$L$3*IFERROR(INDEX(Cat_Factor,MATCH($I6,Cat_Estatus,0)),0)+Catalogos!$L$4*IFERROR(INDEX(Cat_Factor,MATCH($L6,Cat_Estatus,0)),0)+Catalogos!$L$5*IFERROR(INDEX(Cat_Factor,MATCH($O6,Cat_Estatus,0)),0)+Catalogos!$L$6*IFERROR(INDEX(Cat_Factor,MATCH($R6,Cat_Estatus,0)),0)+Catalogos!$L$7*IFERROR(INDEX(Cat_Factor,MATCH($U6,Cat_Estatus,0)),0),4)</f>
        <v>0.75</v>
      </c>
      <c r="AA6" s="39" t="str">
        <f t="shared" si="2"/>
        <v/>
      </c>
      <c r="AB6" s="28" t="str">
        <f t="shared" si="3"/>
        <v/>
      </c>
      <c r="AC6" s="28" t="str">
        <f t="shared" si="4"/>
        <v>Sin fecha</v>
      </c>
      <c r="AD6" s="30"/>
    </row>
    <row r="7" ht="25.5" customHeight="1">
      <c r="A7" s="28" t="s">
        <v>154</v>
      </c>
      <c r="B7" s="28" t="s">
        <v>18</v>
      </c>
      <c r="C7" s="28" t="s">
        <v>127</v>
      </c>
      <c r="D7" s="30" t="s">
        <v>156</v>
      </c>
      <c r="E7" s="33" t="s">
        <v>20</v>
      </c>
      <c r="F7" s="34" t="s">
        <v>131</v>
      </c>
      <c r="G7" s="35" t="s">
        <v>132</v>
      </c>
      <c r="H7" s="28" t="s">
        <v>26</v>
      </c>
      <c r="I7" s="28" t="s">
        <v>30</v>
      </c>
      <c r="J7" s="36">
        <v>46268.0</v>
      </c>
      <c r="K7" s="36">
        <v>46268.0</v>
      </c>
      <c r="L7" s="28" t="s">
        <v>30</v>
      </c>
      <c r="M7" s="36">
        <v>46268.0</v>
      </c>
      <c r="N7" s="36">
        <v>46268.0</v>
      </c>
      <c r="O7" s="28" t="s">
        <v>30</v>
      </c>
      <c r="P7" s="36">
        <v>46268.0</v>
      </c>
      <c r="Q7" s="36">
        <v>46268.0</v>
      </c>
      <c r="R7" s="28" t="s">
        <v>13</v>
      </c>
      <c r="S7" s="36"/>
      <c r="T7" s="36"/>
      <c r="U7" s="28" t="s">
        <v>13</v>
      </c>
      <c r="V7" s="36"/>
      <c r="W7" s="36"/>
      <c r="X7" s="28">
        <f t="shared" si="1"/>
        <v>4</v>
      </c>
      <c r="Y7" s="37" t="str">
        <f t="array" ref="Y7">INDEX(Cat_Etapas,$X7)</f>
        <v>4. Ambiente Sandbox</v>
      </c>
      <c r="Z7" s="38">
        <f t="array" ref="Z7">ROUND(Catalogos!$L$3*IFERROR(INDEX(Cat_Factor,MATCH($I7,Cat_Estatus,0)),0)+Catalogos!$L$4*IFERROR(INDEX(Cat_Factor,MATCH($L7,Cat_Estatus,0)),0)+Catalogos!$L$5*IFERROR(INDEX(Cat_Factor,MATCH($O7,Cat_Estatus,0)),0)+Catalogos!$L$6*IFERROR(INDEX(Cat_Factor,MATCH($R7,Cat_Estatus,0)),0)+Catalogos!$L$7*IFERROR(INDEX(Cat_Factor,MATCH($U7,Cat_Estatus,0)),0),4)</f>
        <v>0.75</v>
      </c>
      <c r="AA7" s="39" t="str">
        <f t="shared" si="2"/>
        <v/>
      </c>
      <c r="AB7" s="28" t="str">
        <f t="shared" si="3"/>
        <v/>
      </c>
      <c r="AC7" s="28" t="str">
        <f t="shared" si="4"/>
        <v>Sin fecha</v>
      </c>
      <c r="AD7" s="30"/>
    </row>
    <row r="8" ht="25.5" customHeight="1">
      <c r="A8" s="28" t="s">
        <v>159</v>
      </c>
      <c r="B8" s="28" t="s">
        <v>18</v>
      </c>
      <c r="C8" s="28" t="s">
        <v>127</v>
      </c>
      <c r="D8" s="30" t="s">
        <v>160</v>
      </c>
      <c r="E8" s="33" t="s">
        <v>20</v>
      </c>
      <c r="F8" s="34" t="s">
        <v>131</v>
      </c>
      <c r="G8" s="35" t="s">
        <v>132</v>
      </c>
      <c r="H8" s="28" t="s">
        <v>26</v>
      </c>
      <c r="I8" s="40" t="s">
        <v>30</v>
      </c>
      <c r="J8" s="41">
        <v>46302.0</v>
      </c>
      <c r="K8" s="41"/>
      <c r="L8" s="40" t="s">
        <v>30</v>
      </c>
      <c r="M8" s="41">
        <v>46283.0</v>
      </c>
      <c r="N8" s="41">
        <v>46283.0</v>
      </c>
      <c r="O8" s="40" t="s">
        <v>30</v>
      </c>
      <c r="P8" s="41">
        <v>46283.0</v>
      </c>
      <c r="Q8" s="41">
        <v>46283.0</v>
      </c>
      <c r="R8" s="28" t="s">
        <v>13</v>
      </c>
      <c r="S8" s="36"/>
      <c r="T8" s="36"/>
      <c r="U8" s="28" t="s">
        <v>13</v>
      </c>
      <c r="V8" s="36"/>
      <c r="W8" s="36"/>
      <c r="X8" s="28">
        <f t="shared" si="1"/>
        <v>4</v>
      </c>
      <c r="Y8" s="37" t="str">
        <f t="array" ref="Y8">INDEX(Cat_Etapas,$X8)</f>
        <v>4. Ambiente Sandbox</v>
      </c>
      <c r="Z8" s="38">
        <f t="array" ref="Z8">ROUND(Catalogos!$L$3*IFERROR(INDEX(Cat_Factor,MATCH($I8,Cat_Estatus,0)),0)+Catalogos!$L$4*IFERROR(INDEX(Cat_Factor,MATCH($L8,Cat_Estatus,0)),0)+Catalogos!$L$5*IFERROR(INDEX(Cat_Factor,MATCH($O8,Cat_Estatus,0)),0)+Catalogos!$L$6*IFERROR(INDEX(Cat_Factor,MATCH($R8,Cat_Estatus,0)),0)+Catalogos!$L$7*IFERROR(INDEX(Cat_Factor,MATCH($U8,Cat_Estatus,0)),0),4)</f>
        <v>0.75</v>
      </c>
      <c r="AA8" s="39" t="str">
        <f t="shared" si="2"/>
        <v/>
      </c>
      <c r="AB8" s="28" t="str">
        <f t="shared" si="3"/>
        <v/>
      </c>
      <c r="AC8" s="28" t="str">
        <f t="shared" si="4"/>
        <v>Sin fecha</v>
      </c>
      <c r="AD8" s="30"/>
    </row>
    <row r="9" ht="25.5" customHeight="1">
      <c r="A9" s="28" t="s">
        <v>161</v>
      </c>
      <c r="B9" s="28" t="s">
        <v>18</v>
      </c>
      <c r="C9" s="28" t="s">
        <v>127</v>
      </c>
      <c r="D9" s="30" t="s">
        <v>162</v>
      </c>
      <c r="E9" s="33" t="s">
        <v>20</v>
      </c>
      <c r="F9" s="34" t="s">
        <v>131</v>
      </c>
      <c r="G9" s="35" t="s">
        <v>132</v>
      </c>
      <c r="H9" s="28" t="s">
        <v>26</v>
      </c>
      <c r="I9" s="28" t="s">
        <v>30</v>
      </c>
      <c r="J9" s="36">
        <v>46274.0</v>
      </c>
      <c r="K9" s="36">
        <v>46274.0</v>
      </c>
      <c r="L9" s="40" t="s">
        <v>30</v>
      </c>
      <c r="M9" s="36">
        <v>46277.0</v>
      </c>
      <c r="N9" s="36">
        <v>46277.0</v>
      </c>
      <c r="O9" s="40" t="s">
        <v>30</v>
      </c>
      <c r="P9" s="36">
        <v>46277.0</v>
      </c>
      <c r="Q9" s="36">
        <v>46277.0</v>
      </c>
      <c r="R9" s="28" t="s">
        <v>13</v>
      </c>
      <c r="S9" s="36"/>
      <c r="T9" s="36"/>
      <c r="U9" s="28" t="s">
        <v>13</v>
      </c>
      <c r="V9" s="36"/>
      <c r="W9" s="36"/>
      <c r="X9" s="28">
        <f t="shared" si="1"/>
        <v>4</v>
      </c>
      <c r="Y9" s="37" t="str">
        <f t="array" ref="Y9">INDEX(Cat_Etapas,$X9)</f>
        <v>4. Ambiente Sandbox</v>
      </c>
      <c r="Z9" s="38">
        <f t="array" ref="Z9">ROUND(Catalogos!$L$3*IFERROR(INDEX(Cat_Factor,MATCH($I9,Cat_Estatus,0)),0)+Catalogos!$L$4*IFERROR(INDEX(Cat_Factor,MATCH($L9,Cat_Estatus,0)),0)+Catalogos!$L$5*IFERROR(INDEX(Cat_Factor,MATCH($O9,Cat_Estatus,0)),0)+Catalogos!$L$6*IFERROR(INDEX(Cat_Factor,MATCH($R9,Cat_Estatus,0)),0)+Catalogos!$L$7*IFERROR(INDEX(Cat_Factor,MATCH($U9,Cat_Estatus,0)),0),4)</f>
        <v>0.75</v>
      </c>
      <c r="AA9" s="39" t="str">
        <f t="shared" si="2"/>
        <v/>
      </c>
      <c r="AB9" s="28" t="str">
        <f t="shared" si="3"/>
        <v/>
      </c>
      <c r="AC9" s="28" t="str">
        <f t="shared" si="4"/>
        <v>Sin fecha</v>
      </c>
      <c r="AD9" s="30"/>
    </row>
    <row r="10" ht="25.5" customHeight="1">
      <c r="A10" s="28" t="s">
        <v>163</v>
      </c>
      <c r="B10" s="28" t="s">
        <v>25</v>
      </c>
      <c r="C10" s="28" t="s">
        <v>164</v>
      </c>
      <c r="D10" s="30" t="s">
        <v>165</v>
      </c>
      <c r="E10" s="33" t="s">
        <v>27</v>
      </c>
      <c r="F10" s="46" t="s">
        <v>166</v>
      </c>
      <c r="G10" s="35" t="s">
        <v>167</v>
      </c>
      <c r="H10" s="28" t="s">
        <v>26</v>
      </c>
      <c r="I10" s="40" t="s">
        <v>30</v>
      </c>
      <c r="J10" s="36">
        <v>46272.0</v>
      </c>
      <c r="K10" s="36">
        <v>46272.0</v>
      </c>
      <c r="L10" s="40" t="s">
        <v>30</v>
      </c>
      <c r="M10" s="41">
        <v>46277.0</v>
      </c>
      <c r="N10" s="41">
        <v>46277.0</v>
      </c>
      <c r="O10" s="40" t="s">
        <v>30</v>
      </c>
      <c r="P10" s="36">
        <v>46277.0</v>
      </c>
      <c r="Q10" s="36"/>
      <c r="R10" s="28" t="s">
        <v>13</v>
      </c>
      <c r="S10" s="36"/>
      <c r="T10" s="36"/>
      <c r="U10" s="28" t="s">
        <v>13</v>
      </c>
      <c r="V10" s="36"/>
      <c r="W10" s="36"/>
      <c r="X10" s="28">
        <f t="shared" si="1"/>
        <v>4</v>
      </c>
      <c r="Y10" s="37" t="str">
        <f t="array" ref="Y10">INDEX(Cat_Etapas,$X10)</f>
        <v>4. Ambiente Sandbox</v>
      </c>
      <c r="Z10" s="38">
        <f t="array" ref="Z10">ROUND(Catalogos!$L$3*IFERROR(INDEX(Cat_Factor,MATCH($I10,Cat_Estatus,0)),0)+Catalogos!$L$4*IFERROR(INDEX(Cat_Factor,MATCH($L10,Cat_Estatus,0)),0)+Catalogos!$L$5*IFERROR(INDEX(Cat_Factor,MATCH($O10,Cat_Estatus,0)),0)+Catalogos!$L$6*IFERROR(INDEX(Cat_Factor,MATCH($R10,Cat_Estatus,0)),0)+Catalogos!$L$7*IFERROR(INDEX(Cat_Factor,MATCH($U10,Cat_Estatus,0)),0),4)</f>
        <v>0.75</v>
      </c>
      <c r="AA10" s="39" t="str">
        <f t="shared" si="2"/>
        <v/>
      </c>
      <c r="AB10" s="28" t="str">
        <f t="shared" si="3"/>
        <v/>
      </c>
      <c r="AC10" s="28" t="str">
        <f t="shared" si="4"/>
        <v>Sin fecha</v>
      </c>
      <c r="AD10" s="30"/>
    </row>
    <row r="11" ht="25.5" customHeight="1">
      <c r="A11" s="28" t="s">
        <v>168</v>
      </c>
      <c r="B11" s="28" t="s">
        <v>25</v>
      </c>
      <c r="C11" s="28" t="s">
        <v>169</v>
      </c>
      <c r="D11" s="30" t="s">
        <v>170</v>
      </c>
      <c r="E11" s="33" t="s">
        <v>52</v>
      </c>
      <c r="F11" s="34" t="s">
        <v>171</v>
      </c>
      <c r="G11" s="35" t="s">
        <v>167</v>
      </c>
      <c r="H11" s="28" t="s">
        <v>26</v>
      </c>
      <c r="I11" s="28" t="s">
        <v>30</v>
      </c>
      <c r="J11" s="36">
        <v>46268.0</v>
      </c>
      <c r="K11" s="36">
        <v>46268.0</v>
      </c>
      <c r="L11" s="28" t="s">
        <v>30</v>
      </c>
      <c r="M11" s="36">
        <v>46269.0</v>
      </c>
      <c r="N11" s="36">
        <v>46269.0</v>
      </c>
      <c r="O11" s="28" t="s">
        <v>30</v>
      </c>
      <c r="P11" s="36">
        <v>46269.0</v>
      </c>
      <c r="Q11" s="36">
        <v>46269.0</v>
      </c>
      <c r="R11" s="28" t="s">
        <v>13</v>
      </c>
      <c r="S11" s="36"/>
      <c r="T11" s="36"/>
      <c r="U11" s="28" t="s">
        <v>13</v>
      </c>
      <c r="V11" s="36"/>
      <c r="W11" s="36"/>
      <c r="X11" s="28">
        <f t="shared" si="1"/>
        <v>4</v>
      </c>
      <c r="Y11" s="37" t="str">
        <f t="array" ref="Y11">INDEX(Cat_Etapas,$X11)</f>
        <v>4. Ambiente Sandbox</v>
      </c>
      <c r="Z11" s="38">
        <f t="array" ref="Z11">ROUND(Catalogos!$L$3*IFERROR(INDEX(Cat_Factor,MATCH($I11,Cat_Estatus,0)),0)+Catalogos!$L$4*IFERROR(INDEX(Cat_Factor,MATCH($L11,Cat_Estatus,0)),0)+Catalogos!$L$5*IFERROR(INDEX(Cat_Factor,MATCH($O11,Cat_Estatus,0)),0)+Catalogos!$L$6*IFERROR(INDEX(Cat_Factor,MATCH($R11,Cat_Estatus,0)),0)+Catalogos!$L$7*IFERROR(INDEX(Cat_Factor,MATCH($U11,Cat_Estatus,0)),0),4)</f>
        <v>0.75</v>
      </c>
      <c r="AA11" s="39" t="str">
        <f t="shared" si="2"/>
        <v/>
      </c>
      <c r="AB11" s="28" t="str">
        <f t="shared" si="3"/>
        <v/>
      </c>
      <c r="AC11" s="28" t="str">
        <f t="shared" si="4"/>
        <v>Sin fecha</v>
      </c>
      <c r="AD11" s="30"/>
    </row>
    <row r="12" ht="25.5" customHeight="1">
      <c r="A12" s="28" t="s">
        <v>129</v>
      </c>
      <c r="B12" s="28" t="s">
        <v>31</v>
      </c>
      <c r="C12" s="28" t="s">
        <v>172</v>
      </c>
      <c r="D12" s="30" t="s">
        <v>173</v>
      </c>
      <c r="E12" s="33" t="s">
        <v>33</v>
      </c>
      <c r="F12" s="46" t="s">
        <v>174</v>
      </c>
      <c r="G12" s="34" t="s">
        <v>175</v>
      </c>
      <c r="H12" s="28" t="s">
        <v>26</v>
      </c>
      <c r="I12" s="28" t="s">
        <v>30</v>
      </c>
      <c r="J12" s="36">
        <v>46274.0</v>
      </c>
      <c r="K12" s="36">
        <v>46274.0</v>
      </c>
      <c r="L12" s="40" t="s">
        <v>30</v>
      </c>
      <c r="M12" s="36">
        <v>46277.0</v>
      </c>
      <c r="N12" s="36"/>
      <c r="O12" s="40" t="s">
        <v>30</v>
      </c>
      <c r="P12" s="36">
        <v>46276.0</v>
      </c>
      <c r="Q12" s="36"/>
      <c r="R12" s="28" t="s">
        <v>13</v>
      </c>
      <c r="S12" s="36"/>
      <c r="T12" s="36"/>
      <c r="U12" s="28" t="s">
        <v>13</v>
      </c>
      <c r="V12" s="36"/>
      <c r="W12" s="36"/>
      <c r="X12" s="28">
        <f t="shared" si="1"/>
        <v>4</v>
      </c>
      <c r="Y12" s="37" t="str">
        <f t="array" ref="Y12">INDEX(Cat_Etapas,$X12)</f>
        <v>4. Ambiente Sandbox</v>
      </c>
      <c r="Z12" s="38">
        <f t="array" ref="Z12">ROUND(Catalogos!$L$3*IFERROR(INDEX(Cat_Factor,MATCH($I12,Cat_Estatus,0)),0)+Catalogos!$L$4*IFERROR(INDEX(Cat_Factor,MATCH($L12,Cat_Estatus,0)),0)+Catalogos!$L$5*IFERROR(INDEX(Cat_Factor,MATCH($O12,Cat_Estatus,0)),0)+Catalogos!$L$6*IFERROR(INDEX(Cat_Factor,MATCH($R12,Cat_Estatus,0)),0)+Catalogos!$L$7*IFERROR(INDEX(Cat_Factor,MATCH($U12,Cat_Estatus,0)),0),4)</f>
        <v>0.75</v>
      </c>
      <c r="AA12" s="39" t="str">
        <f t="shared" si="2"/>
        <v/>
      </c>
      <c r="AB12" s="28" t="str">
        <f t="shared" si="3"/>
        <v/>
      </c>
      <c r="AC12" s="28" t="str">
        <f t="shared" si="4"/>
        <v>Sin fecha</v>
      </c>
      <c r="AD12" s="30"/>
    </row>
    <row r="13" ht="25.5" customHeight="1">
      <c r="A13" s="28" t="s">
        <v>176</v>
      </c>
      <c r="B13" s="28" t="s">
        <v>31</v>
      </c>
      <c r="C13" s="28" t="s">
        <v>177</v>
      </c>
      <c r="D13" s="30" t="s">
        <v>178</v>
      </c>
      <c r="E13" s="33" t="s">
        <v>33</v>
      </c>
      <c r="F13" s="46" t="s">
        <v>174</v>
      </c>
      <c r="G13" s="34" t="s">
        <v>175</v>
      </c>
      <c r="H13" s="28" t="s">
        <v>26</v>
      </c>
      <c r="I13" s="40" t="s">
        <v>30</v>
      </c>
      <c r="J13" s="36">
        <v>46277.0</v>
      </c>
      <c r="K13" s="41">
        <v>46303.0</v>
      </c>
      <c r="L13" s="40" t="s">
        <v>30</v>
      </c>
      <c r="M13" s="36">
        <v>46277.0</v>
      </c>
      <c r="N13" s="36"/>
      <c r="O13" s="40" t="s">
        <v>30</v>
      </c>
      <c r="P13" s="36">
        <v>46276.0</v>
      </c>
      <c r="Q13" s="36"/>
      <c r="R13" s="28" t="s">
        <v>13</v>
      </c>
      <c r="S13" s="36"/>
      <c r="T13" s="36"/>
      <c r="U13" s="28" t="s">
        <v>13</v>
      </c>
      <c r="V13" s="36"/>
      <c r="W13" s="36"/>
      <c r="X13" s="28">
        <f t="shared" si="1"/>
        <v>4</v>
      </c>
      <c r="Y13" s="37" t="str">
        <f t="array" ref="Y13">INDEX(Cat_Etapas,$X13)</f>
        <v>4. Ambiente Sandbox</v>
      </c>
      <c r="Z13" s="38">
        <f t="array" ref="Z13">ROUND(Catalogos!$L$3*IFERROR(INDEX(Cat_Factor,MATCH($I13,Cat_Estatus,0)),0)+Catalogos!$L$4*IFERROR(INDEX(Cat_Factor,MATCH($L13,Cat_Estatus,0)),0)+Catalogos!$L$5*IFERROR(INDEX(Cat_Factor,MATCH($O13,Cat_Estatus,0)),0)+Catalogos!$L$6*IFERROR(INDEX(Cat_Factor,MATCH($R13,Cat_Estatus,0)),0)+Catalogos!$L$7*IFERROR(INDEX(Cat_Factor,MATCH($U13,Cat_Estatus,0)),0),4)</f>
        <v>0.75</v>
      </c>
      <c r="AA13" s="39" t="str">
        <f t="shared" si="2"/>
        <v/>
      </c>
      <c r="AB13" s="28" t="str">
        <f t="shared" si="3"/>
        <v/>
      </c>
      <c r="AC13" s="28" t="str">
        <f t="shared" si="4"/>
        <v>Sin fecha</v>
      </c>
      <c r="AD13" s="30"/>
    </row>
    <row r="14" ht="25.5" customHeight="1">
      <c r="A14" s="28" t="s">
        <v>179</v>
      </c>
      <c r="B14" s="28" t="s">
        <v>31</v>
      </c>
      <c r="C14" s="28" t="s">
        <v>180</v>
      </c>
      <c r="D14" s="30" t="s">
        <v>181</v>
      </c>
      <c r="E14" s="33" t="s">
        <v>33</v>
      </c>
      <c r="F14" s="46" t="s">
        <v>174</v>
      </c>
      <c r="G14" s="34" t="s">
        <v>175</v>
      </c>
      <c r="H14" s="28" t="s">
        <v>26</v>
      </c>
      <c r="I14" s="40" t="s">
        <v>30</v>
      </c>
      <c r="J14" s="36">
        <v>46277.0</v>
      </c>
      <c r="K14" s="36"/>
      <c r="L14" s="40" t="s">
        <v>30</v>
      </c>
      <c r="M14" s="36">
        <v>46283.0</v>
      </c>
      <c r="N14" s="36"/>
      <c r="O14" s="40" t="s">
        <v>30</v>
      </c>
      <c r="P14" s="36">
        <v>46276.0</v>
      </c>
      <c r="Q14" s="36"/>
      <c r="R14" s="28" t="s">
        <v>13</v>
      </c>
      <c r="S14" s="36"/>
      <c r="T14" s="36"/>
      <c r="U14" s="28" t="s">
        <v>13</v>
      </c>
      <c r="V14" s="36"/>
      <c r="W14" s="36"/>
      <c r="X14" s="28">
        <f t="shared" si="1"/>
        <v>4</v>
      </c>
      <c r="Y14" s="37" t="str">
        <f t="array" ref="Y14">INDEX(Cat_Etapas,$X14)</f>
        <v>4. Ambiente Sandbox</v>
      </c>
      <c r="Z14" s="38">
        <f t="array" ref="Z14">ROUND(Catalogos!$L$3*IFERROR(INDEX(Cat_Factor,MATCH($I14,Cat_Estatus,0)),0)+Catalogos!$L$4*IFERROR(INDEX(Cat_Factor,MATCH($L14,Cat_Estatus,0)),0)+Catalogos!$L$5*IFERROR(INDEX(Cat_Factor,MATCH($O14,Cat_Estatus,0)),0)+Catalogos!$L$6*IFERROR(INDEX(Cat_Factor,MATCH($R14,Cat_Estatus,0)),0)+Catalogos!$L$7*IFERROR(INDEX(Cat_Factor,MATCH($U14,Cat_Estatus,0)),0),4)</f>
        <v>0.75</v>
      </c>
      <c r="AA14" s="39" t="str">
        <f t="shared" si="2"/>
        <v/>
      </c>
      <c r="AB14" s="28" t="str">
        <f t="shared" si="3"/>
        <v/>
      </c>
      <c r="AC14" s="28" t="str">
        <f t="shared" si="4"/>
        <v>Sin fecha</v>
      </c>
      <c r="AD14" s="30"/>
    </row>
    <row r="15" ht="25.5" customHeight="1">
      <c r="A15" s="28" t="s">
        <v>182</v>
      </c>
      <c r="B15" s="28" t="s">
        <v>37</v>
      </c>
      <c r="C15" s="28" t="s">
        <v>183</v>
      </c>
      <c r="D15" s="30" t="s">
        <v>184</v>
      </c>
      <c r="E15" s="33" t="s">
        <v>40</v>
      </c>
      <c r="F15" s="35" t="s">
        <v>185</v>
      </c>
      <c r="G15" s="35" t="s">
        <v>186</v>
      </c>
      <c r="H15" s="28" t="s">
        <v>26</v>
      </c>
      <c r="I15" s="40" t="s">
        <v>30</v>
      </c>
      <c r="J15" s="36">
        <v>46283.0</v>
      </c>
      <c r="K15" s="36"/>
      <c r="L15" s="40" t="s">
        <v>23</v>
      </c>
      <c r="M15" s="36">
        <v>46283.0</v>
      </c>
      <c r="N15" s="36"/>
      <c r="O15" s="28" t="s">
        <v>13</v>
      </c>
      <c r="P15" s="36">
        <v>46276.0</v>
      </c>
      <c r="Q15" s="36"/>
      <c r="R15" s="28" t="s">
        <v>13</v>
      </c>
      <c r="S15" s="36"/>
      <c r="T15" s="36"/>
      <c r="U15" s="28" t="s">
        <v>13</v>
      </c>
      <c r="V15" s="36"/>
      <c r="W15" s="36"/>
      <c r="X15" s="28">
        <f t="shared" si="1"/>
        <v>2</v>
      </c>
      <c r="Y15" s="37" t="str">
        <f t="array" ref="Y15">INDEX(Cat_Etapas,$X15)</f>
        <v>2. Revisión y validación</v>
      </c>
      <c r="Z15" s="38">
        <f t="array" ref="Z15">ROUND(Catalogos!$L$3*IFERROR(INDEX(Cat_Factor,MATCH($I15,Cat_Estatus,0)),0)+Catalogos!$L$4*IFERROR(INDEX(Cat_Factor,MATCH($L15,Cat_Estatus,0)),0)+Catalogos!$L$5*IFERROR(INDEX(Cat_Factor,MATCH($O15,Cat_Estatus,0)),0)+Catalogos!$L$6*IFERROR(INDEX(Cat_Factor,MATCH($R15,Cat_Estatus,0)),0)+Catalogos!$L$7*IFERROR(INDEX(Cat_Factor,MATCH($U15,Cat_Estatus,0)),0),4)</f>
        <v>0.5</v>
      </c>
      <c r="AA15" s="39">
        <f t="shared" si="2"/>
        <v>46283</v>
      </c>
      <c r="AB15" s="28">
        <f t="shared" si="3"/>
        <v>-24</v>
      </c>
      <c r="AC15" s="28" t="str">
        <f t="shared" si="4"/>
        <v>Vencido</v>
      </c>
      <c r="AD15" s="30"/>
    </row>
    <row r="16" ht="25.5" customHeight="1">
      <c r="A16" s="28" t="s">
        <v>187</v>
      </c>
      <c r="B16" s="28" t="s">
        <v>37</v>
      </c>
      <c r="C16" s="28" t="s">
        <v>188</v>
      </c>
      <c r="D16" s="30" t="s">
        <v>189</v>
      </c>
      <c r="E16" s="33" t="s">
        <v>40</v>
      </c>
      <c r="F16" s="35" t="s">
        <v>185</v>
      </c>
      <c r="G16" s="35" t="s">
        <v>186</v>
      </c>
      <c r="H16" s="28" t="s">
        <v>26</v>
      </c>
      <c r="I16" s="40" t="s">
        <v>30</v>
      </c>
      <c r="J16" s="36">
        <v>46283.0</v>
      </c>
      <c r="K16" s="36"/>
      <c r="L16" s="40" t="s">
        <v>23</v>
      </c>
      <c r="M16" s="36">
        <v>46283.0</v>
      </c>
      <c r="N16" s="36"/>
      <c r="O16" s="28" t="s">
        <v>13</v>
      </c>
      <c r="P16" s="36">
        <v>46276.0</v>
      </c>
      <c r="Q16" s="36"/>
      <c r="R16" s="28" t="s">
        <v>13</v>
      </c>
      <c r="S16" s="36"/>
      <c r="T16" s="36"/>
      <c r="U16" s="28" t="s">
        <v>13</v>
      </c>
      <c r="V16" s="36"/>
      <c r="W16" s="36"/>
      <c r="X16" s="28">
        <f t="shared" si="1"/>
        <v>2</v>
      </c>
      <c r="Y16" s="37" t="str">
        <f t="array" ref="Y16">INDEX(Cat_Etapas,$X16)</f>
        <v>2. Revisión y validación</v>
      </c>
      <c r="Z16" s="38">
        <f t="array" ref="Z16">ROUND(Catalogos!$L$3*IFERROR(INDEX(Cat_Factor,MATCH($I16,Cat_Estatus,0)),0)+Catalogos!$L$4*IFERROR(INDEX(Cat_Factor,MATCH($L16,Cat_Estatus,0)),0)+Catalogos!$L$5*IFERROR(INDEX(Cat_Factor,MATCH($O16,Cat_Estatus,0)),0)+Catalogos!$L$6*IFERROR(INDEX(Cat_Factor,MATCH($R16,Cat_Estatus,0)),0)+Catalogos!$L$7*IFERROR(INDEX(Cat_Factor,MATCH($U16,Cat_Estatus,0)),0),4)</f>
        <v>0.5</v>
      </c>
      <c r="AA16" s="39">
        <f t="shared" si="2"/>
        <v>46283</v>
      </c>
      <c r="AB16" s="28">
        <f t="shared" si="3"/>
        <v>-24</v>
      </c>
      <c r="AC16" s="28" t="str">
        <f t="shared" si="4"/>
        <v>Vencido</v>
      </c>
      <c r="AD16" s="30"/>
    </row>
    <row r="17" ht="25.5" customHeight="1">
      <c r="A17" s="28" t="s">
        <v>190</v>
      </c>
      <c r="B17" s="28" t="s">
        <v>37</v>
      </c>
      <c r="C17" s="28" t="s">
        <v>191</v>
      </c>
      <c r="D17" s="30" t="s">
        <v>192</v>
      </c>
      <c r="E17" s="33" t="s">
        <v>40</v>
      </c>
      <c r="F17" s="35" t="s">
        <v>185</v>
      </c>
      <c r="G17" s="35" t="s">
        <v>186</v>
      </c>
      <c r="H17" s="28" t="s">
        <v>26</v>
      </c>
      <c r="I17" s="40" t="s">
        <v>30</v>
      </c>
      <c r="J17" s="36">
        <v>46283.0</v>
      </c>
      <c r="K17" s="36"/>
      <c r="L17" s="40" t="s">
        <v>23</v>
      </c>
      <c r="M17" s="36">
        <v>46283.0</v>
      </c>
      <c r="N17" s="36"/>
      <c r="O17" s="28" t="s">
        <v>13</v>
      </c>
      <c r="P17" s="36">
        <v>46276.0</v>
      </c>
      <c r="Q17" s="36"/>
      <c r="R17" s="28" t="s">
        <v>13</v>
      </c>
      <c r="S17" s="36"/>
      <c r="T17" s="36"/>
      <c r="U17" s="28" t="s">
        <v>13</v>
      </c>
      <c r="V17" s="36"/>
      <c r="W17" s="36"/>
      <c r="X17" s="28">
        <f t="shared" si="1"/>
        <v>2</v>
      </c>
      <c r="Y17" s="37" t="str">
        <f t="array" ref="Y17">INDEX(Cat_Etapas,$X17)</f>
        <v>2. Revisión y validación</v>
      </c>
      <c r="Z17" s="38">
        <f t="array" ref="Z17">ROUND(Catalogos!$L$3*IFERROR(INDEX(Cat_Factor,MATCH($I17,Cat_Estatus,0)),0)+Catalogos!$L$4*IFERROR(INDEX(Cat_Factor,MATCH($L17,Cat_Estatus,0)),0)+Catalogos!$L$5*IFERROR(INDEX(Cat_Factor,MATCH($O17,Cat_Estatus,0)),0)+Catalogos!$L$6*IFERROR(INDEX(Cat_Factor,MATCH($R17,Cat_Estatus,0)),0)+Catalogos!$L$7*IFERROR(INDEX(Cat_Factor,MATCH($U17,Cat_Estatus,0)),0),4)</f>
        <v>0.5</v>
      </c>
      <c r="AA17" s="39">
        <f t="shared" si="2"/>
        <v>46283</v>
      </c>
      <c r="AB17" s="28">
        <f t="shared" si="3"/>
        <v>-24</v>
      </c>
      <c r="AC17" s="28" t="str">
        <f t="shared" si="4"/>
        <v>Vencido</v>
      </c>
      <c r="AD17" s="30"/>
    </row>
    <row r="18" ht="25.5" customHeight="1">
      <c r="A18" s="28" t="s">
        <v>193</v>
      </c>
      <c r="B18" s="28" t="s">
        <v>37</v>
      </c>
      <c r="C18" s="28" t="s">
        <v>194</v>
      </c>
      <c r="D18" s="30" t="s">
        <v>195</v>
      </c>
      <c r="E18" s="33" t="s">
        <v>40</v>
      </c>
      <c r="F18" s="35" t="s">
        <v>185</v>
      </c>
      <c r="G18" s="35" t="s">
        <v>186</v>
      </c>
      <c r="H18" s="28" t="s">
        <v>26</v>
      </c>
      <c r="I18" s="28" t="s">
        <v>23</v>
      </c>
      <c r="J18" s="36">
        <v>46283.0</v>
      </c>
      <c r="K18" s="36"/>
      <c r="L18" s="28" t="s">
        <v>13</v>
      </c>
      <c r="M18" s="36">
        <v>46283.0</v>
      </c>
      <c r="N18" s="36"/>
      <c r="O18" s="28" t="s">
        <v>13</v>
      </c>
      <c r="P18" s="36">
        <v>46276.0</v>
      </c>
      <c r="Q18" s="36"/>
      <c r="R18" s="28" t="s">
        <v>13</v>
      </c>
      <c r="S18" s="36"/>
      <c r="T18" s="36"/>
      <c r="U18" s="28" t="s">
        <v>13</v>
      </c>
      <c r="V18" s="36"/>
      <c r="W18" s="36"/>
      <c r="X18" s="28">
        <f t="shared" si="1"/>
        <v>1</v>
      </c>
      <c r="Y18" s="37" t="str">
        <f t="array" ref="Y18">INDEX(Cat_Etapas,$X18)</f>
        <v>1. Llenado de plantilla</v>
      </c>
      <c r="Z18" s="38">
        <f t="array" ref="Z18">ROUND(Catalogos!$L$3*IFERROR(INDEX(Cat_Factor,MATCH($I18,Cat_Estatus,0)),0)+Catalogos!$L$4*IFERROR(INDEX(Cat_Factor,MATCH($L18,Cat_Estatus,0)),0)+Catalogos!$L$5*IFERROR(INDEX(Cat_Factor,MATCH($O18,Cat_Estatus,0)),0)+Catalogos!$L$6*IFERROR(INDEX(Cat_Factor,MATCH($R18,Cat_Estatus,0)),0)+Catalogos!$L$7*IFERROR(INDEX(Cat_Factor,MATCH($U18,Cat_Estatus,0)),0),4)</f>
        <v>0.2</v>
      </c>
      <c r="AA18" s="39">
        <f t="shared" si="2"/>
        <v>46283</v>
      </c>
      <c r="AB18" s="28">
        <f t="shared" si="3"/>
        <v>-24</v>
      </c>
      <c r="AC18" s="28" t="str">
        <f t="shared" si="4"/>
        <v>Vencido</v>
      </c>
      <c r="AD18" s="30"/>
    </row>
    <row r="19" ht="25.5" customHeight="1">
      <c r="A19" s="28" t="s">
        <v>196</v>
      </c>
      <c r="B19" s="28" t="s">
        <v>37</v>
      </c>
      <c r="C19" s="28" t="s">
        <v>197</v>
      </c>
      <c r="D19" s="30" t="s">
        <v>198</v>
      </c>
      <c r="E19" s="33" t="s">
        <v>40</v>
      </c>
      <c r="F19" s="35" t="s">
        <v>185</v>
      </c>
      <c r="G19" s="35" t="s">
        <v>186</v>
      </c>
      <c r="H19" s="28" t="s">
        <v>26</v>
      </c>
      <c r="I19" s="40" t="s">
        <v>30</v>
      </c>
      <c r="J19" s="36">
        <v>46283.0</v>
      </c>
      <c r="K19" s="36"/>
      <c r="L19" s="40" t="s">
        <v>23</v>
      </c>
      <c r="M19" s="36">
        <v>46283.0</v>
      </c>
      <c r="N19" s="36"/>
      <c r="O19" s="28" t="s">
        <v>13</v>
      </c>
      <c r="P19" s="36">
        <v>46276.0</v>
      </c>
      <c r="Q19" s="36"/>
      <c r="R19" s="28" t="s">
        <v>13</v>
      </c>
      <c r="S19" s="36"/>
      <c r="T19" s="36"/>
      <c r="U19" s="28" t="s">
        <v>13</v>
      </c>
      <c r="V19" s="36"/>
      <c r="W19" s="36"/>
      <c r="X19" s="28">
        <f t="shared" si="1"/>
        <v>2</v>
      </c>
      <c r="Y19" s="37" t="str">
        <f t="array" ref="Y19">INDEX(Cat_Etapas,$X19)</f>
        <v>2. Revisión y validación</v>
      </c>
      <c r="Z19" s="38">
        <f t="array" ref="Z19">ROUND(Catalogos!$L$3*IFERROR(INDEX(Cat_Factor,MATCH($I19,Cat_Estatus,0)),0)+Catalogos!$L$4*IFERROR(INDEX(Cat_Factor,MATCH($L19,Cat_Estatus,0)),0)+Catalogos!$L$5*IFERROR(INDEX(Cat_Factor,MATCH($O19,Cat_Estatus,0)),0)+Catalogos!$L$6*IFERROR(INDEX(Cat_Factor,MATCH($R19,Cat_Estatus,0)),0)+Catalogos!$L$7*IFERROR(INDEX(Cat_Factor,MATCH($U19,Cat_Estatus,0)),0),4)</f>
        <v>0.5</v>
      </c>
      <c r="AA19" s="39">
        <f t="shared" si="2"/>
        <v>46283</v>
      </c>
      <c r="AB19" s="28">
        <f t="shared" si="3"/>
        <v>-24</v>
      </c>
      <c r="AC19" s="28" t="str">
        <f t="shared" si="4"/>
        <v>Vencido</v>
      </c>
      <c r="AD19" s="30"/>
    </row>
    <row r="20" ht="25.5" customHeight="1">
      <c r="A20" s="28" t="s">
        <v>199</v>
      </c>
      <c r="B20" s="28" t="s">
        <v>37</v>
      </c>
      <c r="C20" s="28" t="s">
        <v>200</v>
      </c>
      <c r="D20" s="30" t="s">
        <v>201</v>
      </c>
      <c r="E20" s="33" t="s">
        <v>40</v>
      </c>
      <c r="F20" s="35" t="s">
        <v>185</v>
      </c>
      <c r="G20" s="35" t="s">
        <v>186</v>
      </c>
      <c r="H20" s="28" t="s">
        <v>26</v>
      </c>
      <c r="I20" s="28" t="s">
        <v>23</v>
      </c>
      <c r="J20" s="36">
        <v>46283.0</v>
      </c>
      <c r="K20" s="36"/>
      <c r="L20" s="28" t="s">
        <v>13</v>
      </c>
      <c r="M20" s="36">
        <v>46283.0</v>
      </c>
      <c r="N20" s="36"/>
      <c r="O20" s="28" t="s">
        <v>13</v>
      </c>
      <c r="P20" s="36">
        <v>46276.0</v>
      </c>
      <c r="Q20" s="36"/>
      <c r="R20" s="28" t="s">
        <v>13</v>
      </c>
      <c r="S20" s="36"/>
      <c r="T20" s="36"/>
      <c r="U20" s="28" t="s">
        <v>13</v>
      </c>
      <c r="V20" s="36"/>
      <c r="W20" s="36"/>
      <c r="X20" s="28">
        <f t="shared" si="1"/>
        <v>1</v>
      </c>
      <c r="Y20" s="37" t="str">
        <f t="array" ref="Y20">INDEX(Cat_Etapas,$X20)</f>
        <v>1. Llenado de plantilla</v>
      </c>
      <c r="Z20" s="38">
        <f t="array" ref="Z20">ROUND(Catalogos!$L$3*IFERROR(INDEX(Cat_Factor,MATCH($I20,Cat_Estatus,0)),0)+Catalogos!$L$4*IFERROR(INDEX(Cat_Factor,MATCH($L20,Cat_Estatus,0)),0)+Catalogos!$L$5*IFERROR(INDEX(Cat_Factor,MATCH($O20,Cat_Estatus,0)),0)+Catalogos!$L$6*IFERROR(INDEX(Cat_Factor,MATCH($R20,Cat_Estatus,0)),0)+Catalogos!$L$7*IFERROR(INDEX(Cat_Factor,MATCH($U20,Cat_Estatus,0)),0),4)</f>
        <v>0.2</v>
      </c>
      <c r="AA20" s="39">
        <f t="shared" si="2"/>
        <v>46283</v>
      </c>
      <c r="AB20" s="28">
        <f t="shared" si="3"/>
        <v>-24</v>
      </c>
      <c r="AC20" s="28" t="str">
        <f t="shared" si="4"/>
        <v>Vencido</v>
      </c>
      <c r="AD20" s="30"/>
    </row>
    <row r="21" ht="25.5" customHeight="1">
      <c r="A21" s="28" t="s">
        <v>202</v>
      </c>
      <c r="B21" s="28" t="s">
        <v>37</v>
      </c>
      <c r="C21" s="28" t="s">
        <v>203</v>
      </c>
      <c r="D21" s="30" t="s">
        <v>204</v>
      </c>
      <c r="E21" s="33" t="s">
        <v>40</v>
      </c>
      <c r="F21" s="35" t="s">
        <v>185</v>
      </c>
      <c r="G21" s="35" t="s">
        <v>186</v>
      </c>
      <c r="H21" s="28" t="s">
        <v>26</v>
      </c>
      <c r="I21" s="40" t="s">
        <v>30</v>
      </c>
      <c r="J21" s="36">
        <v>46283.0</v>
      </c>
      <c r="K21" s="36"/>
      <c r="L21" s="40" t="s">
        <v>23</v>
      </c>
      <c r="M21" s="36">
        <v>46283.0</v>
      </c>
      <c r="N21" s="36"/>
      <c r="O21" s="28" t="s">
        <v>13</v>
      </c>
      <c r="P21" s="36">
        <v>46276.0</v>
      </c>
      <c r="Q21" s="36"/>
      <c r="R21" s="28" t="s">
        <v>13</v>
      </c>
      <c r="S21" s="36"/>
      <c r="T21" s="36"/>
      <c r="U21" s="28" t="s">
        <v>13</v>
      </c>
      <c r="V21" s="36"/>
      <c r="W21" s="36"/>
      <c r="X21" s="28">
        <f t="shared" si="1"/>
        <v>2</v>
      </c>
      <c r="Y21" s="37" t="str">
        <f t="array" ref="Y21">INDEX(Cat_Etapas,$X21)</f>
        <v>2. Revisión y validación</v>
      </c>
      <c r="Z21" s="38">
        <f t="array" ref="Z21">ROUND(Catalogos!$L$3*IFERROR(INDEX(Cat_Factor,MATCH($I21,Cat_Estatus,0)),0)+Catalogos!$L$4*IFERROR(INDEX(Cat_Factor,MATCH($L21,Cat_Estatus,0)),0)+Catalogos!$L$5*IFERROR(INDEX(Cat_Factor,MATCH($O21,Cat_Estatus,0)),0)+Catalogos!$L$6*IFERROR(INDEX(Cat_Factor,MATCH($R21,Cat_Estatus,0)),0)+Catalogos!$L$7*IFERROR(INDEX(Cat_Factor,MATCH($U21,Cat_Estatus,0)),0),4)</f>
        <v>0.5</v>
      </c>
      <c r="AA21" s="39">
        <f t="shared" si="2"/>
        <v>46283</v>
      </c>
      <c r="AB21" s="28">
        <f t="shared" si="3"/>
        <v>-24</v>
      </c>
      <c r="AC21" s="28" t="str">
        <f t="shared" si="4"/>
        <v>Vencido</v>
      </c>
      <c r="AD21" s="30"/>
    </row>
    <row r="22" ht="25.5" customHeight="1">
      <c r="A22" s="28" t="s">
        <v>205</v>
      </c>
      <c r="B22" s="28" t="s">
        <v>37</v>
      </c>
      <c r="C22" s="28" t="s">
        <v>206</v>
      </c>
      <c r="D22" s="30" t="s">
        <v>207</v>
      </c>
      <c r="E22" s="33" t="s">
        <v>40</v>
      </c>
      <c r="F22" s="35" t="s">
        <v>185</v>
      </c>
      <c r="G22" s="35" t="s">
        <v>186</v>
      </c>
      <c r="H22" s="28" t="s">
        <v>26</v>
      </c>
      <c r="I22" s="28" t="s">
        <v>23</v>
      </c>
      <c r="J22" s="36">
        <v>46283.0</v>
      </c>
      <c r="K22" s="36"/>
      <c r="L22" s="28" t="s">
        <v>13</v>
      </c>
      <c r="M22" s="36">
        <v>46283.0</v>
      </c>
      <c r="N22" s="36"/>
      <c r="O22" s="28" t="s">
        <v>13</v>
      </c>
      <c r="P22" s="36">
        <v>46276.0</v>
      </c>
      <c r="Q22" s="36"/>
      <c r="R22" s="28" t="s">
        <v>13</v>
      </c>
      <c r="S22" s="36"/>
      <c r="T22" s="36"/>
      <c r="U22" s="28" t="s">
        <v>13</v>
      </c>
      <c r="V22" s="36"/>
      <c r="W22" s="36"/>
      <c r="X22" s="28">
        <f t="shared" si="1"/>
        <v>1</v>
      </c>
      <c r="Y22" s="37" t="str">
        <f t="array" ref="Y22">INDEX(Cat_Etapas,$X22)</f>
        <v>1. Llenado de plantilla</v>
      </c>
      <c r="Z22" s="38">
        <f t="array" ref="Z22">ROUND(Catalogos!$L$3*IFERROR(INDEX(Cat_Factor,MATCH($I22,Cat_Estatus,0)),0)+Catalogos!$L$4*IFERROR(INDEX(Cat_Factor,MATCH($L22,Cat_Estatus,0)),0)+Catalogos!$L$5*IFERROR(INDEX(Cat_Factor,MATCH($O22,Cat_Estatus,0)),0)+Catalogos!$L$6*IFERROR(INDEX(Cat_Factor,MATCH($R22,Cat_Estatus,0)),0)+Catalogos!$L$7*IFERROR(INDEX(Cat_Factor,MATCH($U22,Cat_Estatus,0)),0),4)</f>
        <v>0.2</v>
      </c>
      <c r="AA22" s="39">
        <f t="shared" si="2"/>
        <v>46283</v>
      </c>
      <c r="AB22" s="28">
        <f t="shared" si="3"/>
        <v>-24</v>
      </c>
      <c r="AC22" s="28" t="str">
        <f t="shared" si="4"/>
        <v>Vencido</v>
      </c>
      <c r="AD22" s="30"/>
    </row>
    <row r="23" ht="25.5" customHeight="1">
      <c r="A23" s="28" t="s">
        <v>208</v>
      </c>
      <c r="B23" s="28" t="s">
        <v>37</v>
      </c>
      <c r="C23" s="28" t="s">
        <v>209</v>
      </c>
      <c r="D23" s="30" t="s">
        <v>210</v>
      </c>
      <c r="E23" s="33" t="s">
        <v>40</v>
      </c>
      <c r="F23" s="35" t="s">
        <v>185</v>
      </c>
      <c r="G23" s="35" t="s">
        <v>186</v>
      </c>
      <c r="H23" s="28" t="s">
        <v>26</v>
      </c>
      <c r="I23" s="28" t="s">
        <v>23</v>
      </c>
      <c r="J23" s="36">
        <v>46283.0</v>
      </c>
      <c r="K23" s="36"/>
      <c r="L23" s="28" t="s">
        <v>13</v>
      </c>
      <c r="M23" s="36">
        <v>46283.0</v>
      </c>
      <c r="N23" s="36"/>
      <c r="O23" s="28" t="s">
        <v>13</v>
      </c>
      <c r="P23" s="36">
        <v>46276.0</v>
      </c>
      <c r="Q23" s="36"/>
      <c r="R23" s="28" t="s">
        <v>13</v>
      </c>
      <c r="S23" s="36"/>
      <c r="T23" s="36"/>
      <c r="U23" s="28" t="s">
        <v>13</v>
      </c>
      <c r="V23" s="36"/>
      <c r="W23" s="36"/>
      <c r="X23" s="28">
        <f t="shared" si="1"/>
        <v>1</v>
      </c>
      <c r="Y23" s="37" t="str">
        <f t="array" ref="Y23">INDEX(Cat_Etapas,$X23)</f>
        <v>1. Llenado de plantilla</v>
      </c>
      <c r="Z23" s="38">
        <f t="array" ref="Z23">ROUND(Catalogos!$L$3*IFERROR(INDEX(Cat_Factor,MATCH($I23,Cat_Estatus,0)),0)+Catalogos!$L$4*IFERROR(INDEX(Cat_Factor,MATCH($L23,Cat_Estatus,0)),0)+Catalogos!$L$5*IFERROR(INDEX(Cat_Factor,MATCH($O23,Cat_Estatus,0)),0)+Catalogos!$L$6*IFERROR(INDEX(Cat_Factor,MATCH($R23,Cat_Estatus,0)),0)+Catalogos!$L$7*IFERROR(INDEX(Cat_Factor,MATCH($U23,Cat_Estatus,0)),0),4)</f>
        <v>0.2</v>
      </c>
      <c r="AA23" s="39">
        <f t="shared" si="2"/>
        <v>46283</v>
      </c>
      <c r="AB23" s="28">
        <f t="shared" si="3"/>
        <v>-24</v>
      </c>
      <c r="AC23" s="28" t="str">
        <f t="shared" si="4"/>
        <v>Vencido</v>
      </c>
      <c r="AD23" s="30"/>
    </row>
    <row r="24" ht="25.5" customHeight="1">
      <c r="A24" s="28" t="s">
        <v>211</v>
      </c>
      <c r="B24" s="28" t="s">
        <v>37</v>
      </c>
      <c r="C24" s="28" t="s">
        <v>212</v>
      </c>
      <c r="D24" s="30" t="s">
        <v>213</v>
      </c>
      <c r="E24" s="33" t="s">
        <v>40</v>
      </c>
      <c r="F24" s="35" t="s">
        <v>185</v>
      </c>
      <c r="G24" s="35" t="s">
        <v>186</v>
      </c>
      <c r="H24" s="28" t="s">
        <v>26</v>
      </c>
      <c r="I24" s="28" t="s">
        <v>23</v>
      </c>
      <c r="J24" s="36">
        <v>46283.0</v>
      </c>
      <c r="K24" s="36"/>
      <c r="L24" s="28" t="s">
        <v>13</v>
      </c>
      <c r="M24" s="36">
        <v>46283.0</v>
      </c>
      <c r="N24" s="36"/>
      <c r="O24" s="28" t="s">
        <v>13</v>
      </c>
      <c r="P24" s="36">
        <v>46276.0</v>
      </c>
      <c r="Q24" s="36"/>
      <c r="R24" s="28" t="s">
        <v>13</v>
      </c>
      <c r="S24" s="36"/>
      <c r="T24" s="36"/>
      <c r="U24" s="28" t="s">
        <v>13</v>
      </c>
      <c r="V24" s="36"/>
      <c r="W24" s="36"/>
      <c r="X24" s="28">
        <f t="shared" si="1"/>
        <v>1</v>
      </c>
      <c r="Y24" s="37" t="str">
        <f t="array" ref="Y24">INDEX(Cat_Etapas,$X24)</f>
        <v>1. Llenado de plantilla</v>
      </c>
      <c r="Z24" s="38">
        <f t="array" ref="Z24">ROUND(Catalogos!$L$3*IFERROR(INDEX(Cat_Factor,MATCH($I24,Cat_Estatus,0)),0)+Catalogos!$L$4*IFERROR(INDEX(Cat_Factor,MATCH($L24,Cat_Estatus,0)),0)+Catalogos!$L$5*IFERROR(INDEX(Cat_Factor,MATCH($O24,Cat_Estatus,0)),0)+Catalogos!$L$6*IFERROR(INDEX(Cat_Factor,MATCH($R24,Cat_Estatus,0)),0)+Catalogos!$L$7*IFERROR(INDEX(Cat_Factor,MATCH($U24,Cat_Estatus,0)),0),4)</f>
        <v>0.2</v>
      </c>
      <c r="AA24" s="39">
        <f t="shared" si="2"/>
        <v>46283</v>
      </c>
      <c r="AB24" s="28">
        <f t="shared" si="3"/>
        <v>-24</v>
      </c>
      <c r="AC24" s="28" t="str">
        <f t="shared" si="4"/>
        <v>Vencido</v>
      </c>
      <c r="AD24" s="30"/>
    </row>
    <row r="25" ht="25.5" customHeight="1">
      <c r="A25" s="28" t="s">
        <v>214</v>
      </c>
      <c r="B25" s="28" t="s">
        <v>37</v>
      </c>
      <c r="C25" s="28" t="s">
        <v>215</v>
      </c>
      <c r="D25" s="30" t="s">
        <v>216</v>
      </c>
      <c r="E25" s="33" t="s">
        <v>40</v>
      </c>
      <c r="F25" s="35" t="s">
        <v>185</v>
      </c>
      <c r="G25" s="35" t="s">
        <v>186</v>
      </c>
      <c r="H25" s="28" t="s">
        <v>26</v>
      </c>
      <c r="I25" s="28" t="s">
        <v>23</v>
      </c>
      <c r="J25" s="36">
        <v>46283.0</v>
      </c>
      <c r="K25" s="36"/>
      <c r="L25" s="28" t="s">
        <v>13</v>
      </c>
      <c r="M25" s="36">
        <v>46283.0</v>
      </c>
      <c r="N25" s="36"/>
      <c r="O25" s="28" t="s">
        <v>13</v>
      </c>
      <c r="P25" s="36">
        <v>46276.0</v>
      </c>
      <c r="Q25" s="36"/>
      <c r="R25" s="28" t="s">
        <v>13</v>
      </c>
      <c r="S25" s="36"/>
      <c r="T25" s="36"/>
      <c r="U25" s="28" t="s">
        <v>13</v>
      </c>
      <c r="V25" s="36"/>
      <c r="W25" s="36"/>
      <c r="X25" s="28">
        <f t="shared" si="1"/>
        <v>1</v>
      </c>
      <c r="Y25" s="37" t="str">
        <f t="array" ref="Y25">INDEX(Cat_Etapas,$X25)</f>
        <v>1. Llenado de plantilla</v>
      </c>
      <c r="Z25" s="38">
        <f t="array" ref="Z25">ROUND(Catalogos!$L$3*IFERROR(INDEX(Cat_Factor,MATCH($I25,Cat_Estatus,0)),0)+Catalogos!$L$4*IFERROR(INDEX(Cat_Factor,MATCH($L25,Cat_Estatus,0)),0)+Catalogos!$L$5*IFERROR(INDEX(Cat_Factor,MATCH($O25,Cat_Estatus,0)),0)+Catalogos!$L$6*IFERROR(INDEX(Cat_Factor,MATCH($R25,Cat_Estatus,0)),0)+Catalogos!$L$7*IFERROR(INDEX(Cat_Factor,MATCH($U25,Cat_Estatus,0)),0),4)</f>
        <v>0.2</v>
      </c>
      <c r="AA25" s="39">
        <f t="shared" si="2"/>
        <v>46283</v>
      </c>
      <c r="AB25" s="28">
        <f t="shared" si="3"/>
        <v>-24</v>
      </c>
      <c r="AC25" s="28" t="str">
        <f t="shared" si="4"/>
        <v>Vencido</v>
      </c>
      <c r="AD25" s="30"/>
    </row>
    <row r="26" ht="25.5" customHeight="1">
      <c r="A26" s="28" t="s">
        <v>217</v>
      </c>
      <c r="B26" s="28" t="s">
        <v>37</v>
      </c>
      <c r="C26" s="28" t="s">
        <v>218</v>
      </c>
      <c r="D26" s="30" t="s">
        <v>219</v>
      </c>
      <c r="E26" s="33" t="s">
        <v>40</v>
      </c>
      <c r="F26" s="35" t="s">
        <v>185</v>
      </c>
      <c r="G26" s="35" t="s">
        <v>186</v>
      </c>
      <c r="H26" s="28" t="s">
        <v>26</v>
      </c>
      <c r="I26" s="28" t="s">
        <v>23</v>
      </c>
      <c r="J26" s="36">
        <v>46283.0</v>
      </c>
      <c r="K26" s="36"/>
      <c r="L26" s="28" t="s">
        <v>13</v>
      </c>
      <c r="M26" s="36">
        <v>46283.0</v>
      </c>
      <c r="N26" s="36"/>
      <c r="O26" s="28" t="s">
        <v>13</v>
      </c>
      <c r="P26" s="36">
        <v>46276.0</v>
      </c>
      <c r="Q26" s="36"/>
      <c r="R26" s="28" t="s">
        <v>13</v>
      </c>
      <c r="S26" s="36"/>
      <c r="T26" s="36"/>
      <c r="U26" s="28" t="s">
        <v>13</v>
      </c>
      <c r="V26" s="36"/>
      <c r="W26" s="36"/>
      <c r="X26" s="28">
        <f t="shared" si="1"/>
        <v>1</v>
      </c>
      <c r="Y26" s="37" t="str">
        <f t="array" ref="Y26">INDEX(Cat_Etapas,$X26)</f>
        <v>1. Llenado de plantilla</v>
      </c>
      <c r="Z26" s="38">
        <f t="array" ref="Z26">ROUND(Catalogos!$L$3*IFERROR(INDEX(Cat_Factor,MATCH($I26,Cat_Estatus,0)),0)+Catalogos!$L$4*IFERROR(INDEX(Cat_Factor,MATCH($L26,Cat_Estatus,0)),0)+Catalogos!$L$5*IFERROR(INDEX(Cat_Factor,MATCH($O26,Cat_Estatus,0)),0)+Catalogos!$L$6*IFERROR(INDEX(Cat_Factor,MATCH($R26,Cat_Estatus,0)),0)+Catalogos!$L$7*IFERROR(INDEX(Cat_Factor,MATCH($U26,Cat_Estatus,0)),0),4)</f>
        <v>0.2</v>
      </c>
      <c r="AA26" s="39">
        <f t="shared" si="2"/>
        <v>46283</v>
      </c>
      <c r="AB26" s="28">
        <f t="shared" si="3"/>
        <v>-24</v>
      </c>
      <c r="AC26" s="28" t="str">
        <f t="shared" si="4"/>
        <v>Vencido</v>
      </c>
      <c r="AD26" s="30"/>
    </row>
    <row r="27" ht="25.5" customHeight="1">
      <c r="A27" s="28" t="s">
        <v>220</v>
      </c>
      <c r="B27" s="28" t="s">
        <v>37</v>
      </c>
      <c r="C27" s="28" t="s">
        <v>221</v>
      </c>
      <c r="D27" s="30" t="s">
        <v>222</v>
      </c>
      <c r="E27" s="33" t="s">
        <v>40</v>
      </c>
      <c r="F27" s="35" t="s">
        <v>185</v>
      </c>
      <c r="G27" s="35" t="s">
        <v>186</v>
      </c>
      <c r="H27" s="28" t="s">
        <v>26</v>
      </c>
      <c r="I27" s="28" t="s">
        <v>23</v>
      </c>
      <c r="J27" s="36">
        <v>46283.0</v>
      </c>
      <c r="K27" s="36"/>
      <c r="L27" s="28" t="s">
        <v>13</v>
      </c>
      <c r="M27" s="36">
        <v>46283.0</v>
      </c>
      <c r="N27" s="36"/>
      <c r="O27" s="28" t="s">
        <v>13</v>
      </c>
      <c r="P27" s="36">
        <v>46276.0</v>
      </c>
      <c r="Q27" s="36"/>
      <c r="R27" s="28" t="s">
        <v>13</v>
      </c>
      <c r="S27" s="36"/>
      <c r="T27" s="36"/>
      <c r="U27" s="28" t="s">
        <v>13</v>
      </c>
      <c r="V27" s="36"/>
      <c r="W27" s="36"/>
      <c r="X27" s="28">
        <f t="shared" si="1"/>
        <v>1</v>
      </c>
      <c r="Y27" s="37" t="str">
        <f t="array" ref="Y27">INDEX(Cat_Etapas,$X27)</f>
        <v>1. Llenado de plantilla</v>
      </c>
      <c r="Z27" s="38">
        <f t="array" ref="Z27">ROUND(Catalogos!$L$3*IFERROR(INDEX(Cat_Factor,MATCH($I27,Cat_Estatus,0)),0)+Catalogos!$L$4*IFERROR(INDEX(Cat_Factor,MATCH($L27,Cat_Estatus,0)),0)+Catalogos!$L$5*IFERROR(INDEX(Cat_Factor,MATCH($O27,Cat_Estatus,0)),0)+Catalogos!$L$6*IFERROR(INDEX(Cat_Factor,MATCH($R27,Cat_Estatus,0)),0)+Catalogos!$L$7*IFERROR(INDEX(Cat_Factor,MATCH($U27,Cat_Estatus,0)),0),4)</f>
        <v>0.2</v>
      </c>
      <c r="AA27" s="39">
        <f t="shared" si="2"/>
        <v>46283</v>
      </c>
      <c r="AB27" s="28">
        <f t="shared" si="3"/>
        <v>-24</v>
      </c>
      <c r="AC27" s="28" t="str">
        <f t="shared" si="4"/>
        <v>Vencido</v>
      </c>
      <c r="AD27" s="30"/>
    </row>
    <row r="28" ht="25.5" customHeight="1">
      <c r="A28" s="28" t="s">
        <v>223</v>
      </c>
      <c r="B28" s="28" t="s">
        <v>37</v>
      </c>
      <c r="C28" s="28" t="s">
        <v>224</v>
      </c>
      <c r="D28" s="30" t="s">
        <v>225</v>
      </c>
      <c r="E28" s="33" t="s">
        <v>40</v>
      </c>
      <c r="F28" s="35" t="s">
        <v>185</v>
      </c>
      <c r="G28" s="35" t="s">
        <v>186</v>
      </c>
      <c r="H28" s="28" t="s">
        <v>26</v>
      </c>
      <c r="I28" s="28" t="s">
        <v>23</v>
      </c>
      <c r="J28" s="36">
        <v>46283.0</v>
      </c>
      <c r="K28" s="36"/>
      <c r="L28" s="28" t="s">
        <v>13</v>
      </c>
      <c r="M28" s="36">
        <v>46283.0</v>
      </c>
      <c r="N28" s="36"/>
      <c r="O28" s="28" t="s">
        <v>13</v>
      </c>
      <c r="P28" s="36">
        <v>46276.0</v>
      </c>
      <c r="Q28" s="36"/>
      <c r="R28" s="28" t="s">
        <v>13</v>
      </c>
      <c r="S28" s="36"/>
      <c r="T28" s="36"/>
      <c r="U28" s="28" t="s">
        <v>13</v>
      </c>
      <c r="V28" s="36"/>
      <c r="W28" s="36"/>
      <c r="X28" s="28">
        <f t="shared" si="1"/>
        <v>1</v>
      </c>
      <c r="Y28" s="37" t="str">
        <f t="array" ref="Y28">INDEX(Cat_Etapas,$X28)</f>
        <v>1. Llenado de plantilla</v>
      </c>
      <c r="Z28" s="38">
        <f t="array" ref="Z28">ROUND(Catalogos!$L$3*IFERROR(INDEX(Cat_Factor,MATCH($I28,Cat_Estatus,0)),0)+Catalogos!$L$4*IFERROR(INDEX(Cat_Factor,MATCH($L28,Cat_Estatus,0)),0)+Catalogos!$L$5*IFERROR(INDEX(Cat_Factor,MATCH($O28,Cat_Estatus,0)),0)+Catalogos!$L$6*IFERROR(INDEX(Cat_Factor,MATCH($R28,Cat_Estatus,0)),0)+Catalogos!$L$7*IFERROR(INDEX(Cat_Factor,MATCH($U28,Cat_Estatus,0)),0),4)</f>
        <v>0.2</v>
      </c>
      <c r="AA28" s="39">
        <f t="shared" si="2"/>
        <v>46283</v>
      </c>
      <c r="AB28" s="28">
        <f t="shared" si="3"/>
        <v>-24</v>
      </c>
      <c r="AC28" s="28" t="str">
        <f t="shared" si="4"/>
        <v>Vencido</v>
      </c>
      <c r="AD28" s="30"/>
    </row>
    <row r="29" ht="25.5" customHeight="1">
      <c r="A29" s="28" t="s">
        <v>226</v>
      </c>
      <c r="B29" s="28" t="s">
        <v>37</v>
      </c>
      <c r="C29" s="28" t="s">
        <v>227</v>
      </c>
      <c r="D29" s="30" t="s">
        <v>228</v>
      </c>
      <c r="E29" s="33" t="s">
        <v>40</v>
      </c>
      <c r="F29" s="35" t="s">
        <v>185</v>
      </c>
      <c r="G29" s="35" t="s">
        <v>186</v>
      </c>
      <c r="H29" s="28" t="s">
        <v>26</v>
      </c>
      <c r="I29" s="28" t="s">
        <v>23</v>
      </c>
      <c r="J29" s="36">
        <v>46283.0</v>
      </c>
      <c r="K29" s="36"/>
      <c r="L29" s="28" t="s">
        <v>13</v>
      </c>
      <c r="M29" s="36">
        <v>46283.0</v>
      </c>
      <c r="N29" s="36"/>
      <c r="O29" s="28" t="s">
        <v>13</v>
      </c>
      <c r="P29" s="36">
        <v>46276.0</v>
      </c>
      <c r="Q29" s="36"/>
      <c r="R29" s="28" t="s">
        <v>13</v>
      </c>
      <c r="S29" s="36"/>
      <c r="T29" s="36"/>
      <c r="U29" s="28" t="s">
        <v>13</v>
      </c>
      <c r="V29" s="36"/>
      <c r="W29" s="36"/>
      <c r="X29" s="28">
        <f t="shared" si="1"/>
        <v>1</v>
      </c>
      <c r="Y29" s="37" t="str">
        <f t="array" ref="Y29">INDEX(Cat_Etapas,$X29)</f>
        <v>1. Llenado de plantilla</v>
      </c>
      <c r="Z29" s="38">
        <f t="array" ref="Z29">ROUND(Catalogos!$L$3*IFERROR(INDEX(Cat_Factor,MATCH($I29,Cat_Estatus,0)),0)+Catalogos!$L$4*IFERROR(INDEX(Cat_Factor,MATCH($L29,Cat_Estatus,0)),0)+Catalogos!$L$5*IFERROR(INDEX(Cat_Factor,MATCH($O29,Cat_Estatus,0)),0)+Catalogos!$L$6*IFERROR(INDEX(Cat_Factor,MATCH($R29,Cat_Estatus,0)),0)+Catalogos!$L$7*IFERROR(INDEX(Cat_Factor,MATCH($U29,Cat_Estatus,0)),0),4)</f>
        <v>0.2</v>
      </c>
      <c r="AA29" s="39">
        <f t="shared" si="2"/>
        <v>46283</v>
      </c>
      <c r="AB29" s="28">
        <f t="shared" si="3"/>
        <v>-24</v>
      </c>
      <c r="AC29" s="28" t="str">
        <f t="shared" si="4"/>
        <v>Vencido</v>
      </c>
      <c r="AD29" s="30"/>
    </row>
    <row r="30" ht="25.5" customHeight="1">
      <c r="A30" s="28" t="s">
        <v>229</v>
      </c>
      <c r="B30" s="28" t="s">
        <v>37</v>
      </c>
      <c r="C30" s="28" t="s">
        <v>230</v>
      </c>
      <c r="D30" s="30" t="s">
        <v>231</v>
      </c>
      <c r="E30" s="33" t="s">
        <v>40</v>
      </c>
      <c r="F30" s="35" t="s">
        <v>185</v>
      </c>
      <c r="G30" s="35" t="s">
        <v>186</v>
      </c>
      <c r="H30" s="28" t="s">
        <v>26</v>
      </c>
      <c r="I30" s="28" t="s">
        <v>23</v>
      </c>
      <c r="J30" s="36">
        <v>46283.0</v>
      </c>
      <c r="K30" s="36"/>
      <c r="L30" s="28" t="s">
        <v>13</v>
      </c>
      <c r="M30" s="36">
        <v>46283.0</v>
      </c>
      <c r="N30" s="36"/>
      <c r="O30" s="28" t="s">
        <v>13</v>
      </c>
      <c r="P30" s="36">
        <v>46276.0</v>
      </c>
      <c r="Q30" s="36"/>
      <c r="R30" s="28" t="s">
        <v>13</v>
      </c>
      <c r="S30" s="36"/>
      <c r="T30" s="36"/>
      <c r="U30" s="28" t="s">
        <v>13</v>
      </c>
      <c r="V30" s="36"/>
      <c r="W30" s="36"/>
      <c r="X30" s="28">
        <f t="shared" si="1"/>
        <v>1</v>
      </c>
      <c r="Y30" s="37" t="str">
        <f t="array" ref="Y30">INDEX(Cat_Etapas,$X30)</f>
        <v>1. Llenado de plantilla</v>
      </c>
      <c r="Z30" s="38">
        <f t="array" ref="Z30">ROUND(Catalogos!$L$3*IFERROR(INDEX(Cat_Factor,MATCH($I30,Cat_Estatus,0)),0)+Catalogos!$L$4*IFERROR(INDEX(Cat_Factor,MATCH($L30,Cat_Estatus,0)),0)+Catalogos!$L$5*IFERROR(INDEX(Cat_Factor,MATCH($O30,Cat_Estatus,0)),0)+Catalogos!$L$6*IFERROR(INDEX(Cat_Factor,MATCH($R30,Cat_Estatus,0)),0)+Catalogos!$L$7*IFERROR(INDEX(Cat_Factor,MATCH($U30,Cat_Estatus,0)),0),4)</f>
        <v>0.2</v>
      </c>
      <c r="AA30" s="39">
        <f t="shared" si="2"/>
        <v>46283</v>
      </c>
      <c r="AB30" s="28">
        <f t="shared" si="3"/>
        <v>-24</v>
      </c>
      <c r="AC30" s="28" t="str">
        <f t="shared" si="4"/>
        <v>Vencido</v>
      </c>
      <c r="AD30" s="30"/>
    </row>
    <row r="31" ht="25.5" customHeight="1">
      <c r="A31" s="28" t="s">
        <v>232</v>
      </c>
      <c r="B31" s="28" t="s">
        <v>37</v>
      </c>
      <c r="C31" s="28" t="s">
        <v>233</v>
      </c>
      <c r="D31" s="30" t="s">
        <v>234</v>
      </c>
      <c r="E31" s="33" t="s">
        <v>40</v>
      </c>
      <c r="F31" s="35" t="s">
        <v>185</v>
      </c>
      <c r="G31" s="35" t="s">
        <v>186</v>
      </c>
      <c r="H31" s="28" t="s">
        <v>26</v>
      </c>
      <c r="I31" s="28" t="s">
        <v>23</v>
      </c>
      <c r="J31" s="36">
        <v>46283.0</v>
      </c>
      <c r="K31" s="36"/>
      <c r="L31" s="28" t="s">
        <v>13</v>
      </c>
      <c r="M31" s="36">
        <v>46283.0</v>
      </c>
      <c r="N31" s="36"/>
      <c r="O31" s="28" t="s">
        <v>13</v>
      </c>
      <c r="P31" s="36">
        <v>46276.0</v>
      </c>
      <c r="Q31" s="36"/>
      <c r="R31" s="28" t="s">
        <v>13</v>
      </c>
      <c r="S31" s="36"/>
      <c r="T31" s="36"/>
      <c r="U31" s="28" t="s">
        <v>13</v>
      </c>
      <c r="V31" s="36"/>
      <c r="W31" s="36"/>
      <c r="X31" s="28">
        <f t="shared" si="1"/>
        <v>1</v>
      </c>
      <c r="Y31" s="37" t="str">
        <f t="array" ref="Y31">INDEX(Cat_Etapas,$X31)</f>
        <v>1. Llenado de plantilla</v>
      </c>
      <c r="Z31" s="38">
        <f t="array" ref="Z31">ROUND(Catalogos!$L$3*IFERROR(INDEX(Cat_Factor,MATCH($I31,Cat_Estatus,0)),0)+Catalogos!$L$4*IFERROR(INDEX(Cat_Factor,MATCH($L31,Cat_Estatus,0)),0)+Catalogos!$L$5*IFERROR(INDEX(Cat_Factor,MATCH($O31,Cat_Estatus,0)),0)+Catalogos!$L$6*IFERROR(INDEX(Cat_Factor,MATCH($R31,Cat_Estatus,0)),0)+Catalogos!$L$7*IFERROR(INDEX(Cat_Factor,MATCH($U31,Cat_Estatus,0)),0),4)</f>
        <v>0.2</v>
      </c>
      <c r="AA31" s="39">
        <f t="shared" si="2"/>
        <v>46283</v>
      </c>
      <c r="AB31" s="28">
        <f t="shared" si="3"/>
        <v>-24</v>
      </c>
      <c r="AC31" s="28" t="str">
        <f t="shared" si="4"/>
        <v>Vencido</v>
      </c>
      <c r="AD31" s="30"/>
    </row>
    <row r="32" ht="25.5" customHeight="1">
      <c r="A32" s="28" t="s">
        <v>235</v>
      </c>
      <c r="B32" s="28" t="s">
        <v>37</v>
      </c>
      <c r="C32" s="28" t="s">
        <v>236</v>
      </c>
      <c r="D32" s="30" t="s">
        <v>237</v>
      </c>
      <c r="E32" s="33" t="s">
        <v>40</v>
      </c>
      <c r="F32" s="35" t="s">
        <v>185</v>
      </c>
      <c r="G32" s="35" t="s">
        <v>186</v>
      </c>
      <c r="H32" s="28" t="s">
        <v>26</v>
      </c>
      <c r="I32" s="28" t="s">
        <v>23</v>
      </c>
      <c r="J32" s="36">
        <v>46283.0</v>
      </c>
      <c r="K32" s="36"/>
      <c r="L32" s="28" t="s">
        <v>13</v>
      </c>
      <c r="M32" s="36">
        <v>46283.0</v>
      </c>
      <c r="N32" s="36"/>
      <c r="O32" s="28" t="s">
        <v>13</v>
      </c>
      <c r="P32" s="36">
        <v>46276.0</v>
      </c>
      <c r="Q32" s="36"/>
      <c r="R32" s="28" t="s">
        <v>13</v>
      </c>
      <c r="S32" s="36"/>
      <c r="T32" s="36"/>
      <c r="U32" s="28" t="s">
        <v>13</v>
      </c>
      <c r="V32" s="36"/>
      <c r="W32" s="36"/>
      <c r="X32" s="28">
        <f t="shared" si="1"/>
        <v>1</v>
      </c>
      <c r="Y32" s="37" t="str">
        <f t="array" ref="Y32">INDEX(Cat_Etapas,$X32)</f>
        <v>1. Llenado de plantilla</v>
      </c>
      <c r="Z32" s="38">
        <f t="array" ref="Z32">ROUND(Catalogos!$L$3*IFERROR(INDEX(Cat_Factor,MATCH($I32,Cat_Estatus,0)),0)+Catalogos!$L$4*IFERROR(INDEX(Cat_Factor,MATCH($L32,Cat_Estatus,0)),0)+Catalogos!$L$5*IFERROR(INDEX(Cat_Factor,MATCH($O32,Cat_Estatus,0)),0)+Catalogos!$L$6*IFERROR(INDEX(Cat_Factor,MATCH($R32,Cat_Estatus,0)),0)+Catalogos!$L$7*IFERROR(INDEX(Cat_Factor,MATCH($U32,Cat_Estatus,0)),0),4)</f>
        <v>0.2</v>
      </c>
      <c r="AA32" s="39">
        <f t="shared" si="2"/>
        <v>46283</v>
      </c>
      <c r="AB32" s="28">
        <f t="shared" si="3"/>
        <v>-24</v>
      </c>
      <c r="AC32" s="28" t="str">
        <f t="shared" si="4"/>
        <v>Vencido</v>
      </c>
      <c r="AD32" s="30"/>
    </row>
    <row r="33" ht="25.5" customHeight="1">
      <c r="A33" s="28" t="s">
        <v>238</v>
      </c>
      <c r="B33" s="28" t="s">
        <v>37</v>
      </c>
      <c r="C33" s="28" t="s">
        <v>239</v>
      </c>
      <c r="D33" s="30" t="s">
        <v>240</v>
      </c>
      <c r="E33" s="33" t="s">
        <v>40</v>
      </c>
      <c r="F33" s="35" t="s">
        <v>185</v>
      </c>
      <c r="G33" s="35" t="s">
        <v>186</v>
      </c>
      <c r="H33" s="28" t="s">
        <v>26</v>
      </c>
      <c r="I33" s="28" t="s">
        <v>23</v>
      </c>
      <c r="J33" s="36">
        <v>46283.0</v>
      </c>
      <c r="K33" s="36"/>
      <c r="L33" s="28" t="s">
        <v>13</v>
      </c>
      <c r="M33" s="36">
        <v>46283.0</v>
      </c>
      <c r="N33" s="36"/>
      <c r="O33" s="28" t="s">
        <v>13</v>
      </c>
      <c r="P33" s="36">
        <v>46276.0</v>
      </c>
      <c r="Q33" s="36"/>
      <c r="R33" s="28" t="s">
        <v>13</v>
      </c>
      <c r="S33" s="36"/>
      <c r="T33" s="36"/>
      <c r="U33" s="28" t="s">
        <v>13</v>
      </c>
      <c r="V33" s="36"/>
      <c r="W33" s="36"/>
      <c r="X33" s="28">
        <f t="shared" si="1"/>
        <v>1</v>
      </c>
      <c r="Y33" s="37" t="str">
        <f t="array" ref="Y33">INDEX(Cat_Etapas,$X33)</f>
        <v>1. Llenado de plantilla</v>
      </c>
      <c r="Z33" s="38">
        <f t="array" ref="Z33">ROUND(Catalogos!$L$3*IFERROR(INDEX(Cat_Factor,MATCH($I33,Cat_Estatus,0)),0)+Catalogos!$L$4*IFERROR(INDEX(Cat_Factor,MATCH($L33,Cat_Estatus,0)),0)+Catalogos!$L$5*IFERROR(INDEX(Cat_Factor,MATCH($O33,Cat_Estatus,0)),0)+Catalogos!$L$6*IFERROR(INDEX(Cat_Factor,MATCH($R33,Cat_Estatus,0)),0)+Catalogos!$L$7*IFERROR(INDEX(Cat_Factor,MATCH($U33,Cat_Estatus,0)),0),4)</f>
        <v>0.2</v>
      </c>
      <c r="AA33" s="39">
        <f t="shared" si="2"/>
        <v>46283</v>
      </c>
      <c r="AB33" s="28">
        <f t="shared" si="3"/>
        <v>-24</v>
      </c>
      <c r="AC33" s="28" t="str">
        <f t="shared" si="4"/>
        <v>Vencido</v>
      </c>
      <c r="AD33" s="30"/>
    </row>
    <row r="34" ht="25.5" customHeight="1">
      <c r="A34" s="28" t="s">
        <v>241</v>
      </c>
      <c r="B34" s="28" t="s">
        <v>37</v>
      </c>
      <c r="C34" s="28" t="s">
        <v>242</v>
      </c>
      <c r="D34" s="30" t="s">
        <v>243</v>
      </c>
      <c r="E34" s="33" t="s">
        <v>40</v>
      </c>
      <c r="F34" s="35" t="s">
        <v>185</v>
      </c>
      <c r="G34" s="35" t="s">
        <v>186</v>
      </c>
      <c r="H34" s="28" t="s">
        <v>26</v>
      </c>
      <c r="I34" s="28" t="s">
        <v>23</v>
      </c>
      <c r="J34" s="36">
        <v>46283.0</v>
      </c>
      <c r="K34" s="36"/>
      <c r="L34" s="28" t="s">
        <v>13</v>
      </c>
      <c r="M34" s="36">
        <v>46283.0</v>
      </c>
      <c r="N34" s="36"/>
      <c r="O34" s="28" t="s">
        <v>13</v>
      </c>
      <c r="P34" s="36">
        <v>46276.0</v>
      </c>
      <c r="Q34" s="36"/>
      <c r="R34" s="28" t="s">
        <v>13</v>
      </c>
      <c r="S34" s="36"/>
      <c r="T34" s="36"/>
      <c r="U34" s="28" t="s">
        <v>13</v>
      </c>
      <c r="V34" s="36"/>
      <c r="W34" s="36"/>
      <c r="X34" s="28">
        <f t="shared" si="1"/>
        <v>1</v>
      </c>
      <c r="Y34" s="37" t="str">
        <f t="array" ref="Y34">INDEX(Cat_Etapas,$X34)</f>
        <v>1. Llenado de plantilla</v>
      </c>
      <c r="Z34" s="38">
        <f t="array" ref="Z34">ROUND(Catalogos!$L$3*IFERROR(INDEX(Cat_Factor,MATCH($I34,Cat_Estatus,0)),0)+Catalogos!$L$4*IFERROR(INDEX(Cat_Factor,MATCH($L34,Cat_Estatus,0)),0)+Catalogos!$L$5*IFERROR(INDEX(Cat_Factor,MATCH($O34,Cat_Estatus,0)),0)+Catalogos!$L$6*IFERROR(INDEX(Cat_Factor,MATCH($R34,Cat_Estatus,0)),0)+Catalogos!$L$7*IFERROR(INDEX(Cat_Factor,MATCH($U34,Cat_Estatus,0)),0),4)</f>
        <v>0.2</v>
      </c>
      <c r="AA34" s="39">
        <f t="shared" si="2"/>
        <v>46283</v>
      </c>
      <c r="AB34" s="28">
        <f t="shared" si="3"/>
        <v>-24</v>
      </c>
      <c r="AC34" s="28" t="str">
        <f t="shared" si="4"/>
        <v>Vencido</v>
      </c>
      <c r="AD34" s="30"/>
    </row>
    <row r="35" ht="25.5" customHeight="1">
      <c r="A35" s="28" t="s">
        <v>244</v>
      </c>
      <c r="B35" s="28" t="s">
        <v>37</v>
      </c>
      <c r="C35" s="28" t="s">
        <v>245</v>
      </c>
      <c r="D35" s="30" t="s">
        <v>246</v>
      </c>
      <c r="E35" s="33" t="s">
        <v>40</v>
      </c>
      <c r="F35" s="35" t="s">
        <v>185</v>
      </c>
      <c r="G35" s="35" t="s">
        <v>186</v>
      </c>
      <c r="H35" s="28" t="s">
        <v>26</v>
      </c>
      <c r="I35" s="28" t="s">
        <v>23</v>
      </c>
      <c r="J35" s="36">
        <v>46283.0</v>
      </c>
      <c r="K35" s="36"/>
      <c r="L35" s="28" t="s">
        <v>13</v>
      </c>
      <c r="M35" s="36">
        <v>46283.0</v>
      </c>
      <c r="N35" s="36"/>
      <c r="O35" s="28" t="s">
        <v>13</v>
      </c>
      <c r="P35" s="36">
        <v>46276.0</v>
      </c>
      <c r="Q35" s="36"/>
      <c r="R35" s="28" t="s">
        <v>13</v>
      </c>
      <c r="S35" s="36"/>
      <c r="T35" s="36"/>
      <c r="U35" s="28" t="s">
        <v>13</v>
      </c>
      <c r="V35" s="36"/>
      <c r="W35" s="36"/>
      <c r="X35" s="28">
        <f t="shared" si="1"/>
        <v>1</v>
      </c>
      <c r="Y35" s="37" t="str">
        <f t="array" ref="Y35">INDEX(Cat_Etapas,$X35)</f>
        <v>1. Llenado de plantilla</v>
      </c>
      <c r="Z35" s="38">
        <f t="array" ref="Z35">ROUND(Catalogos!$L$3*IFERROR(INDEX(Cat_Factor,MATCH($I35,Cat_Estatus,0)),0)+Catalogos!$L$4*IFERROR(INDEX(Cat_Factor,MATCH($L35,Cat_Estatus,0)),0)+Catalogos!$L$5*IFERROR(INDEX(Cat_Factor,MATCH($O35,Cat_Estatus,0)),0)+Catalogos!$L$6*IFERROR(INDEX(Cat_Factor,MATCH($R35,Cat_Estatus,0)),0)+Catalogos!$L$7*IFERROR(INDEX(Cat_Factor,MATCH($U35,Cat_Estatus,0)),0),4)</f>
        <v>0.2</v>
      </c>
      <c r="AA35" s="39">
        <f t="shared" si="2"/>
        <v>46283</v>
      </c>
      <c r="AB35" s="28">
        <f t="shared" si="3"/>
        <v>-24</v>
      </c>
      <c r="AC35" s="28" t="str">
        <f t="shared" si="4"/>
        <v>Vencido</v>
      </c>
      <c r="AD35" s="30"/>
    </row>
    <row r="36" ht="25.5" customHeight="1">
      <c r="A36" s="28" t="s">
        <v>247</v>
      </c>
      <c r="B36" s="28" t="s">
        <v>37</v>
      </c>
      <c r="C36" s="28" t="s">
        <v>248</v>
      </c>
      <c r="D36" s="30" t="s">
        <v>249</v>
      </c>
      <c r="E36" s="33" t="s">
        <v>40</v>
      </c>
      <c r="F36" s="35" t="s">
        <v>185</v>
      </c>
      <c r="G36" s="35" t="s">
        <v>186</v>
      </c>
      <c r="H36" s="28" t="s">
        <v>26</v>
      </c>
      <c r="I36" s="28" t="s">
        <v>23</v>
      </c>
      <c r="J36" s="36">
        <v>46283.0</v>
      </c>
      <c r="K36" s="36"/>
      <c r="L36" s="28" t="s">
        <v>13</v>
      </c>
      <c r="M36" s="36">
        <v>46283.0</v>
      </c>
      <c r="N36" s="36"/>
      <c r="O36" s="28" t="s">
        <v>13</v>
      </c>
      <c r="P36" s="36">
        <v>46276.0</v>
      </c>
      <c r="Q36" s="36"/>
      <c r="R36" s="28" t="s">
        <v>13</v>
      </c>
      <c r="S36" s="36"/>
      <c r="T36" s="36"/>
      <c r="U36" s="28" t="s">
        <v>13</v>
      </c>
      <c r="V36" s="36"/>
      <c r="W36" s="36"/>
      <c r="X36" s="28">
        <f t="shared" si="1"/>
        <v>1</v>
      </c>
      <c r="Y36" s="37" t="str">
        <f t="array" ref="Y36">INDEX(Cat_Etapas,$X36)</f>
        <v>1. Llenado de plantilla</v>
      </c>
      <c r="Z36" s="38">
        <f t="array" ref="Z36">ROUND(Catalogos!$L$3*IFERROR(INDEX(Cat_Factor,MATCH($I36,Cat_Estatus,0)),0)+Catalogos!$L$4*IFERROR(INDEX(Cat_Factor,MATCH($L36,Cat_Estatus,0)),0)+Catalogos!$L$5*IFERROR(INDEX(Cat_Factor,MATCH($O36,Cat_Estatus,0)),0)+Catalogos!$L$6*IFERROR(INDEX(Cat_Factor,MATCH($R36,Cat_Estatus,0)),0)+Catalogos!$L$7*IFERROR(INDEX(Cat_Factor,MATCH($U36,Cat_Estatus,0)),0),4)</f>
        <v>0.2</v>
      </c>
      <c r="AA36" s="39">
        <f t="shared" si="2"/>
        <v>46283</v>
      </c>
      <c r="AB36" s="28">
        <f t="shared" si="3"/>
        <v>-24</v>
      </c>
      <c r="AC36" s="28" t="str">
        <f t="shared" si="4"/>
        <v>Vencido</v>
      </c>
      <c r="AD36" s="30"/>
    </row>
    <row r="37" ht="25.5" customHeight="1">
      <c r="A37" s="28" t="s">
        <v>250</v>
      </c>
      <c r="B37" s="28" t="s">
        <v>37</v>
      </c>
      <c r="C37" s="28" t="s">
        <v>251</v>
      </c>
      <c r="D37" s="30" t="s">
        <v>252</v>
      </c>
      <c r="E37" s="33" t="s">
        <v>40</v>
      </c>
      <c r="F37" s="35" t="s">
        <v>185</v>
      </c>
      <c r="G37" s="35" t="s">
        <v>186</v>
      </c>
      <c r="H37" s="28" t="s">
        <v>26</v>
      </c>
      <c r="I37" s="28" t="s">
        <v>23</v>
      </c>
      <c r="J37" s="36">
        <v>46283.0</v>
      </c>
      <c r="K37" s="36"/>
      <c r="L37" s="28" t="s">
        <v>13</v>
      </c>
      <c r="M37" s="36">
        <v>46283.0</v>
      </c>
      <c r="N37" s="36"/>
      <c r="O37" s="28" t="s">
        <v>13</v>
      </c>
      <c r="P37" s="36">
        <v>46276.0</v>
      </c>
      <c r="Q37" s="36"/>
      <c r="R37" s="28" t="s">
        <v>13</v>
      </c>
      <c r="S37" s="36"/>
      <c r="T37" s="36"/>
      <c r="U37" s="28" t="s">
        <v>13</v>
      </c>
      <c r="V37" s="36"/>
      <c r="W37" s="36"/>
      <c r="X37" s="28">
        <f t="shared" si="1"/>
        <v>1</v>
      </c>
      <c r="Y37" s="37" t="str">
        <f t="array" ref="Y37">INDEX(Cat_Etapas,$X37)</f>
        <v>1. Llenado de plantilla</v>
      </c>
      <c r="Z37" s="38">
        <f t="array" ref="Z37">ROUND(Catalogos!$L$3*IFERROR(INDEX(Cat_Factor,MATCH($I37,Cat_Estatus,0)),0)+Catalogos!$L$4*IFERROR(INDEX(Cat_Factor,MATCH($L37,Cat_Estatus,0)),0)+Catalogos!$L$5*IFERROR(INDEX(Cat_Factor,MATCH($O37,Cat_Estatus,0)),0)+Catalogos!$L$6*IFERROR(INDEX(Cat_Factor,MATCH($R37,Cat_Estatus,0)),0)+Catalogos!$L$7*IFERROR(INDEX(Cat_Factor,MATCH($U37,Cat_Estatus,0)),0),4)</f>
        <v>0.2</v>
      </c>
      <c r="AA37" s="39">
        <f t="shared" si="2"/>
        <v>46283</v>
      </c>
      <c r="AB37" s="28">
        <f t="shared" si="3"/>
        <v>-24</v>
      </c>
      <c r="AC37" s="28" t="str">
        <f t="shared" si="4"/>
        <v>Vencido</v>
      </c>
      <c r="AD37" s="30"/>
    </row>
    <row r="38" ht="25.5" customHeight="1">
      <c r="A38" s="28" t="s">
        <v>253</v>
      </c>
      <c r="B38" s="28" t="s">
        <v>43</v>
      </c>
      <c r="C38" s="28" t="s">
        <v>197</v>
      </c>
      <c r="D38" s="30" t="s">
        <v>254</v>
      </c>
      <c r="E38" s="33" t="s">
        <v>44</v>
      </c>
      <c r="F38" s="34" t="s">
        <v>255</v>
      </c>
      <c r="G38" s="35" t="s">
        <v>186</v>
      </c>
      <c r="H38" s="28" t="s">
        <v>26</v>
      </c>
      <c r="I38" s="28" t="s">
        <v>30</v>
      </c>
      <c r="J38" s="41">
        <v>46277.0</v>
      </c>
      <c r="K38" s="36">
        <v>46276.0</v>
      </c>
      <c r="L38" s="40" t="s">
        <v>30</v>
      </c>
      <c r="M38" s="36">
        <v>46283.0</v>
      </c>
      <c r="N38" s="36"/>
      <c r="O38" s="40" t="s">
        <v>30</v>
      </c>
      <c r="P38" s="36">
        <v>46277.0</v>
      </c>
      <c r="Q38" s="36"/>
      <c r="R38" s="28" t="s">
        <v>13</v>
      </c>
      <c r="S38" s="36"/>
      <c r="T38" s="36"/>
      <c r="U38" s="28" t="s">
        <v>13</v>
      </c>
      <c r="V38" s="36"/>
      <c r="W38" s="36"/>
      <c r="X38" s="28">
        <f t="shared" si="1"/>
        <v>4</v>
      </c>
      <c r="Y38" s="37" t="str">
        <f t="array" ref="Y38">INDEX(Cat_Etapas,$X38)</f>
        <v>4. Ambiente Sandbox</v>
      </c>
      <c r="Z38" s="38">
        <f t="array" ref="Z38">ROUND(Catalogos!$L$3*IFERROR(INDEX(Cat_Factor,MATCH($I38,Cat_Estatus,0)),0)+Catalogos!$L$4*IFERROR(INDEX(Cat_Factor,MATCH($L38,Cat_Estatus,0)),0)+Catalogos!$L$5*IFERROR(INDEX(Cat_Factor,MATCH($O38,Cat_Estatus,0)),0)+Catalogos!$L$6*IFERROR(INDEX(Cat_Factor,MATCH($R38,Cat_Estatus,0)),0)+Catalogos!$L$7*IFERROR(INDEX(Cat_Factor,MATCH($U38,Cat_Estatus,0)),0),4)</f>
        <v>0.75</v>
      </c>
      <c r="AA38" s="39" t="str">
        <f t="shared" si="2"/>
        <v/>
      </c>
      <c r="AB38" s="28" t="str">
        <f t="shared" si="3"/>
        <v/>
      </c>
      <c r="AC38" s="28" t="str">
        <f t="shared" si="4"/>
        <v>Sin fecha</v>
      </c>
      <c r="AD38" s="30"/>
    </row>
    <row r="39" ht="25.5" customHeight="1">
      <c r="A39" s="28" t="s">
        <v>256</v>
      </c>
      <c r="B39" s="28" t="s">
        <v>43</v>
      </c>
      <c r="C39" s="28" t="s">
        <v>257</v>
      </c>
      <c r="D39" s="30" t="s">
        <v>258</v>
      </c>
      <c r="E39" s="33" t="s">
        <v>44</v>
      </c>
      <c r="F39" s="34" t="s">
        <v>255</v>
      </c>
      <c r="G39" s="35" t="s">
        <v>186</v>
      </c>
      <c r="H39" s="28" t="s">
        <v>26</v>
      </c>
      <c r="I39" s="40" t="s">
        <v>30</v>
      </c>
      <c r="J39" s="36">
        <v>46283.0</v>
      </c>
      <c r="K39" s="36"/>
      <c r="L39" s="40" t="s">
        <v>30</v>
      </c>
      <c r="M39" s="36">
        <v>46283.0</v>
      </c>
      <c r="N39" s="36"/>
      <c r="O39" s="40" t="s">
        <v>30</v>
      </c>
      <c r="P39" s="36">
        <v>46283.0</v>
      </c>
      <c r="Q39" s="36"/>
      <c r="R39" s="28" t="s">
        <v>13</v>
      </c>
      <c r="S39" s="36"/>
      <c r="T39" s="36"/>
      <c r="U39" s="28" t="s">
        <v>13</v>
      </c>
      <c r="V39" s="36"/>
      <c r="W39" s="36"/>
      <c r="X39" s="28">
        <f t="shared" si="1"/>
        <v>4</v>
      </c>
      <c r="Y39" s="37" t="str">
        <f t="array" ref="Y39">INDEX(Cat_Etapas,$X39)</f>
        <v>4. Ambiente Sandbox</v>
      </c>
      <c r="Z39" s="38">
        <f t="array" ref="Z39">ROUND(Catalogos!$L$3*IFERROR(INDEX(Cat_Factor,MATCH($I39,Cat_Estatus,0)),0)+Catalogos!$L$4*IFERROR(INDEX(Cat_Factor,MATCH($L39,Cat_Estatus,0)),0)+Catalogos!$L$5*IFERROR(INDEX(Cat_Factor,MATCH($O39,Cat_Estatus,0)),0)+Catalogos!$L$6*IFERROR(INDEX(Cat_Factor,MATCH($R39,Cat_Estatus,0)),0)+Catalogos!$L$7*IFERROR(INDEX(Cat_Factor,MATCH($U39,Cat_Estatus,0)),0),4)</f>
        <v>0.75</v>
      </c>
      <c r="AA39" s="39" t="str">
        <f t="shared" si="2"/>
        <v/>
      </c>
      <c r="AB39" s="28" t="str">
        <f t="shared" si="3"/>
        <v/>
      </c>
      <c r="AC39" s="28" t="str">
        <f t="shared" si="4"/>
        <v>Sin fecha</v>
      </c>
      <c r="AD39" s="30"/>
    </row>
    <row r="40" ht="25.5" customHeight="1">
      <c r="A40" s="28" t="s">
        <v>259</v>
      </c>
      <c r="B40" s="28" t="s">
        <v>43</v>
      </c>
      <c r="C40" s="28" t="s">
        <v>260</v>
      </c>
      <c r="D40" s="30" t="s">
        <v>261</v>
      </c>
      <c r="E40" s="33" t="s">
        <v>44</v>
      </c>
      <c r="F40" s="34" t="s">
        <v>255</v>
      </c>
      <c r="G40" s="35" t="s">
        <v>186</v>
      </c>
      <c r="H40" s="28" t="s">
        <v>26</v>
      </c>
      <c r="I40" s="40" t="s">
        <v>30</v>
      </c>
      <c r="J40" s="36">
        <v>46283.0</v>
      </c>
      <c r="K40" s="36"/>
      <c r="L40" s="40" t="s">
        <v>30</v>
      </c>
      <c r="M40" s="36">
        <v>46283.0</v>
      </c>
      <c r="N40" s="36"/>
      <c r="O40" s="40" t="s">
        <v>30</v>
      </c>
      <c r="P40" s="36">
        <v>46283.0</v>
      </c>
      <c r="Q40" s="36"/>
      <c r="R40" s="28" t="s">
        <v>13</v>
      </c>
      <c r="S40" s="36"/>
      <c r="T40" s="36"/>
      <c r="U40" s="28" t="s">
        <v>13</v>
      </c>
      <c r="V40" s="36"/>
      <c r="W40" s="36"/>
      <c r="X40" s="28">
        <f t="shared" si="1"/>
        <v>4</v>
      </c>
      <c r="Y40" s="37" t="str">
        <f t="array" ref="Y40">INDEX(Cat_Etapas,$X40)</f>
        <v>4. Ambiente Sandbox</v>
      </c>
      <c r="Z40" s="38">
        <f t="array" ref="Z40">ROUND(Catalogos!$L$3*IFERROR(INDEX(Cat_Factor,MATCH($I40,Cat_Estatus,0)),0)+Catalogos!$L$4*IFERROR(INDEX(Cat_Factor,MATCH($L40,Cat_Estatus,0)),0)+Catalogos!$L$5*IFERROR(INDEX(Cat_Factor,MATCH($O40,Cat_Estatus,0)),0)+Catalogos!$L$6*IFERROR(INDEX(Cat_Factor,MATCH($R40,Cat_Estatus,0)),0)+Catalogos!$L$7*IFERROR(INDEX(Cat_Factor,MATCH($U40,Cat_Estatus,0)),0),4)</f>
        <v>0.75</v>
      </c>
      <c r="AA40" s="39" t="str">
        <f t="shared" si="2"/>
        <v/>
      </c>
      <c r="AB40" s="28" t="str">
        <f t="shared" si="3"/>
        <v/>
      </c>
      <c r="AC40" s="28" t="str">
        <f t="shared" si="4"/>
        <v>Sin fecha</v>
      </c>
      <c r="AD40" s="30"/>
    </row>
    <row r="41" ht="25.5" customHeight="1">
      <c r="A41" s="28" t="s">
        <v>262</v>
      </c>
      <c r="B41" s="28" t="s">
        <v>43</v>
      </c>
      <c r="C41" s="28" t="s">
        <v>263</v>
      </c>
      <c r="D41" s="30" t="s">
        <v>264</v>
      </c>
      <c r="E41" s="33" t="s">
        <v>44</v>
      </c>
      <c r="F41" s="34" t="s">
        <v>255</v>
      </c>
      <c r="G41" s="35" t="s">
        <v>186</v>
      </c>
      <c r="H41" s="28" t="s">
        <v>26</v>
      </c>
      <c r="I41" s="40" t="s">
        <v>30</v>
      </c>
      <c r="J41" s="36">
        <v>46283.0</v>
      </c>
      <c r="K41" s="36"/>
      <c r="L41" s="40" t="s">
        <v>30</v>
      </c>
      <c r="M41" s="36">
        <v>46283.0</v>
      </c>
      <c r="N41" s="36"/>
      <c r="O41" s="40" t="s">
        <v>30</v>
      </c>
      <c r="P41" s="36">
        <v>46283.0</v>
      </c>
      <c r="Q41" s="36"/>
      <c r="R41" s="28" t="s">
        <v>13</v>
      </c>
      <c r="S41" s="36"/>
      <c r="T41" s="36"/>
      <c r="U41" s="28" t="s">
        <v>13</v>
      </c>
      <c r="V41" s="36"/>
      <c r="W41" s="36"/>
      <c r="X41" s="28">
        <f t="shared" si="1"/>
        <v>4</v>
      </c>
      <c r="Y41" s="37" t="str">
        <f t="array" ref="Y41">INDEX(Cat_Etapas,$X41)</f>
        <v>4. Ambiente Sandbox</v>
      </c>
      <c r="Z41" s="38">
        <f t="array" ref="Z41">ROUND(Catalogos!$L$3*IFERROR(INDEX(Cat_Factor,MATCH($I41,Cat_Estatus,0)),0)+Catalogos!$L$4*IFERROR(INDEX(Cat_Factor,MATCH($L41,Cat_Estatus,0)),0)+Catalogos!$L$5*IFERROR(INDEX(Cat_Factor,MATCH($O41,Cat_Estatus,0)),0)+Catalogos!$L$6*IFERROR(INDEX(Cat_Factor,MATCH($R41,Cat_Estatus,0)),0)+Catalogos!$L$7*IFERROR(INDEX(Cat_Factor,MATCH($U41,Cat_Estatus,0)),0),4)</f>
        <v>0.75</v>
      </c>
      <c r="AA41" s="39" t="str">
        <f t="shared" si="2"/>
        <v/>
      </c>
      <c r="AB41" s="28" t="str">
        <f t="shared" si="3"/>
        <v/>
      </c>
      <c r="AC41" s="28" t="str">
        <f t="shared" si="4"/>
        <v>Sin fecha</v>
      </c>
      <c r="AD41" s="30"/>
    </row>
    <row r="42" ht="25.5" customHeight="1">
      <c r="A42" s="28" t="s">
        <v>265</v>
      </c>
      <c r="B42" s="28" t="s">
        <v>43</v>
      </c>
      <c r="C42" s="28" t="s">
        <v>266</v>
      </c>
      <c r="D42" s="30" t="s">
        <v>267</v>
      </c>
      <c r="E42" s="33" t="s">
        <v>44</v>
      </c>
      <c r="F42" s="34" t="s">
        <v>255</v>
      </c>
      <c r="G42" s="35" t="s">
        <v>186</v>
      </c>
      <c r="H42" s="28" t="s">
        <v>26</v>
      </c>
      <c r="I42" s="40" t="s">
        <v>30</v>
      </c>
      <c r="J42" s="36">
        <v>46283.0</v>
      </c>
      <c r="K42" s="36"/>
      <c r="L42" s="40" t="s">
        <v>30</v>
      </c>
      <c r="M42" s="36">
        <v>46283.0</v>
      </c>
      <c r="N42" s="36"/>
      <c r="O42" s="40" t="s">
        <v>30</v>
      </c>
      <c r="P42" s="36">
        <v>46283.0</v>
      </c>
      <c r="Q42" s="36"/>
      <c r="R42" s="28" t="s">
        <v>13</v>
      </c>
      <c r="S42" s="36"/>
      <c r="T42" s="36"/>
      <c r="U42" s="28" t="s">
        <v>13</v>
      </c>
      <c r="V42" s="36"/>
      <c r="W42" s="36"/>
      <c r="X42" s="28">
        <f t="shared" si="1"/>
        <v>4</v>
      </c>
      <c r="Y42" s="37" t="str">
        <f t="array" ref="Y42">INDEX(Cat_Etapas,$X42)</f>
        <v>4. Ambiente Sandbox</v>
      </c>
      <c r="Z42" s="38">
        <f t="array" ref="Z42">ROUND(Catalogos!$L$3*IFERROR(INDEX(Cat_Factor,MATCH($I42,Cat_Estatus,0)),0)+Catalogos!$L$4*IFERROR(INDEX(Cat_Factor,MATCH($L42,Cat_Estatus,0)),0)+Catalogos!$L$5*IFERROR(INDEX(Cat_Factor,MATCH($O42,Cat_Estatus,0)),0)+Catalogos!$L$6*IFERROR(INDEX(Cat_Factor,MATCH($R42,Cat_Estatus,0)),0)+Catalogos!$L$7*IFERROR(INDEX(Cat_Factor,MATCH($U42,Cat_Estatus,0)),0),4)</f>
        <v>0.75</v>
      </c>
      <c r="AA42" s="39" t="str">
        <f t="shared" si="2"/>
        <v/>
      </c>
      <c r="AB42" s="28" t="str">
        <f t="shared" si="3"/>
        <v/>
      </c>
      <c r="AC42" s="28" t="str">
        <f t="shared" si="4"/>
        <v>Sin fecha</v>
      </c>
      <c r="AD42" s="30"/>
    </row>
    <row r="43" ht="25.5" customHeight="1">
      <c r="A43" s="28" t="s">
        <v>268</v>
      </c>
      <c r="B43" s="28" t="s">
        <v>43</v>
      </c>
      <c r="C43" s="28" t="s">
        <v>269</v>
      </c>
      <c r="D43" s="30" t="s">
        <v>270</v>
      </c>
      <c r="E43" s="33" t="s">
        <v>44</v>
      </c>
      <c r="F43" s="34" t="s">
        <v>255</v>
      </c>
      <c r="G43" s="35" t="s">
        <v>186</v>
      </c>
      <c r="H43" s="28" t="s">
        <v>26</v>
      </c>
      <c r="I43" s="28" t="s">
        <v>30</v>
      </c>
      <c r="J43" s="41">
        <v>46277.0</v>
      </c>
      <c r="K43" s="36">
        <v>46276.0</v>
      </c>
      <c r="L43" s="28" t="s">
        <v>30</v>
      </c>
      <c r="M43" s="41">
        <v>46277.0</v>
      </c>
      <c r="N43" s="36">
        <v>46276.0</v>
      </c>
      <c r="O43" s="28" t="s">
        <v>30</v>
      </c>
      <c r="P43" s="36">
        <v>46276.0</v>
      </c>
      <c r="Q43" s="36">
        <v>46277.0</v>
      </c>
      <c r="R43" s="28" t="s">
        <v>13</v>
      </c>
      <c r="S43" s="36"/>
      <c r="T43" s="36"/>
      <c r="U43" s="28" t="s">
        <v>13</v>
      </c>
      <c r="V43" s="36"/>
      <c r="W43" s="36"/>
      <c r="X43" s="28">
        <f t="shared" si="1"/>
        <v>4</v>
      </c>
      <c r="Y43" s="37" t="str">
        <f t="array" ref="Y43">INDEX(Cat_Etapas,$X43)</f>
        <v>4. Ambiente Sandbox</v>
      </c>
      <c r="Z43" s="38">
        <f t="array" ref="Z43">ROUND(Catalogos!$L$3*IFERROR(INDEX(Cat_Factor,MATCH($I43,Cat_Estatus,0)),0)+Catalogos!$L$4*IFERROR(INDEX(Cat_Factor,MATCH($L43,Cat_Estatus,0)),0)+Catalogos!$L$5*IFERROR(INDEX(Cat_Factor,MATCH($O43,Cat_Estatus,0)),0)+Catalogos!$L$6*IFERROR(INDEX(Cat_Factor,MATCH($R43,Cat_Estatus,0)),0)+Catalogos!$L$7*IFERROR(INDEX(Cat_Factor,MATCH($U43,Cat_Estatus,0)),0),4)</f>
        <v>0.75</v>
      </c>
      <c r="AA43" s="39" t="str">
        <f t="shared" si="2"/>
        <v/>
      </c>
      <c r="AB43" s="28" t="str">
        <f t="shared" si="3"/>
        <v/>
      </c>
      <c r="AC43" s="28" t="str">
        <f t="shared" si="4"/>
        <v>Sin fecha</v>
      </c>
      <c r="AD43" s="30"/>
    </row>
    <row r="44" ht="25.5" customHeight="1">
      <c r="A44" s="28" t="s">
        <v>271</v>
      </c>
      <c r="B44" s="28" t="s">
        <v>46</v>
      </c>
      <c r="C44" s="28" t="s">
        <v>272</v>
      </c>
      <c r="D44" s="30" t="s">
        <v>273</v>
      </c>
      <c r="E44" s="33" t="s">
        <v>48</v>
      </c>
      <c r="F44" s="34" t="s">
        <v>131</v>
      </c>
      <c r="G44" s="35" t="s">
        <v>132</v>
      </c>
      <c r="H44" s="28" t="s">
        <v>26</v>
      </c>
      <c r="I44" s="28" t="s">
        <v>30</v>
      </c>
      <c r="J44" s="41">
        <v>46277.0</v>
      </c>
      <c r="K44" s="36">
        <v>46275.0</v>
      </c>
      <c r="L44" s="28" t="s">
        <v>23</v>
      </c>
      <c r="M44" s="36">
        <v>46276.0</v>
      </c>
      <c r="N44" s="36"/>
      <c r="O44" s="28" t="s">
        <v>13</v>
      </c>
      <c r="P44" s="36"/>
      <c r="Q44" s="36"/>
      <c r="R44" s="28" t="s">
        <v>13</v>
      </c>
      <c r="S44" s="36"/>
      <c r="T44" s="36"/>
      <c r="U44" s="28" t="s">
        <v>13</v>
      </c>
      <c r="V44" s="36"/>
      <c r="W44" s="36"/>
      <c r="X44" s="28">
        <f t="shared" si="1"/>
        <v>2</v>
      </c>
      <c r="Y44" s="37" t="str">
        <f t="array" ref="Y44">INDEX(Cat_Etapas,$X44)</f>
        <v>2. Revisión y validación</v>
      </c>
      <c r="Z44" s="38">
        <f t="array" ref="Z44">ROUND(Catalogos!$L$3*IFERROR(INDEX(Cat_Factor,MATCH($I44,Cat_Estatus,0)),0)+Catalogos!$L$4*IFERROR(INDEX(Cat_Factor,MATCH($L44,Cat_Estatus,0)),0)+Catalogos!$L$5*IFERROR(INDEX(Cat_Factor,MATCH($O44,Cat_Estatus,0)),0)+Catalogos!$L$6*IFERROR(INDEX(Cat_Factor,MATCH($R44,Cat_Estatus,0)),0)+Catalogos!$L$7*IFERROR(INDEX(Cat_Factor,MATCH($U44,Cat_Estatus,0)),0),4)</f>
        <v>0.5</v>
      </c>
      <c r="AA44" s="39">
        <f t="shared" si="2"/>
        <v>46276</v>
      </c>
      <c r="AB44" s="28">
        <f t="shared" si="3"/>
        <v>-31</v>
      </c>
      <c r="AC44" s="28" t="str">
        <f t="shared" si="4"/>
        <v>Vencido</v>
      </c>
      <c r="AD44" s="30"/>
    </row>
    <row r="45" ht="15.75" customHeight="1"/>
    <row r="46" ht="15.75" customHeight="1">
      <c r="B46" s="47"/>
      <c r="E46" s="47"/>
      <c r="H46" s="47"/>
      <c r="I46" s="47"/>
      <c r="L46" s="47"/>
      <c r="O46" s="47"/>
      <c r="R46" s="47"/>
      <c r="U46" s="47"/>
    </row>
    <row r="47" ht="15.75" customHeight="1">
      <c r="B47" s="47"/>
      <c r="E47" s="47"/>
      <c r="H47" s="47"/>
      <c r="I47" s="47"/>
      <c r="L47" s="47"/>
      <c r="O47" s="47"/>
      <c r="R47" s="47"/>
      <c r="U47" s="47"/>
    </row>
    <row r="48" ht="15.75" customHeight="1">
      <c r="B48" s="47"/>
      <c r="E48" s="47"/>
      <c r="H48" s="47"/>
      <c r="I48" s="47"/>
      <c r="L48" s="47"/>
      <c r="O48" s="47"/>
      <c r="R48" s="47"/>
      <c r="U48" s="47"/>
    </row>
    <row r="49" ht="15.75" customHeight="1">
      <c r="B49" s="47"/>
      <c r="E49" s="47"/>
      <c r="H49" s="47"/>
      <c r="I49" s="47"/>
      <c r="L49" s="47"/>
      <c r="O49" s="47"/>
      <c r="R49" s="47"/>
      <c r="U49" s="47"/>
    </row>
    <row r="50" ht="15.75" customHeight="1">
      <c r="B50" s="47"/>
      <c r="E50" s="47"/>
      <c r="H50" s="47"/>
      <c r="I50" s="47"/>
      <c r="L50" s="47"/>
      <c r="O50" s="47"/>
      <c r="R50" s="47"/>
      <c r="U50" s="47"/>
    </row>
    <row r="51" ht="15.75" customHeight="1">
      <c r="B51" s="47"/>
      <c r="E51" s="47"/>
      <c r="H51" s="47"/>
      <c r="I51" s="47"/>
      <c r="L51" s="47"/>
      <c r="O51" s="47"/>
      <c r="R51" s="47"/>
      <c r="U51" s="47"/>
    </row>
    <row r="52" ht="15.75" customHeight="1">
      <c r="B52" s="47"/>
      <c r="E52" s="47"/>
      <c r="H52" s="47"/>
      <c r="I52" s="47"/>
      <c r="L52" s="47"/>
      <c r="O52" s="47"/>
      <c r="R52" s="47"/>
      <c r="U52" s="47"/>
    </row>
    <row r="53" ht="15.75" customHeight="1">
      <c r="B53" s="47"/>
      <c r="E53" s="47"/>
      <c r="H53" s="47"/>
      <c r="I53" s="47"/>
      <c r="L53" s="47"/>
      <c r="O53" s="47"/>
      <c r="R53" s="47"/>
      <c r="U53" s="47"/>
    </row>
    <row r="54" ht="15.75" customHeight="1">
      <c r="B54" s="47"/>
      <c r="E54" s="47"/>
      <c r="H54" s="47"/>
      <c r="I54" s="47"/>
      <c r="L54" s="47"/>
      <c r="O54" s="47"/>
      <c r="R54" s="47"/>
      <c r="U54" s="47"/>
    </row>
    <row r="55" ht="15.75" customHeight="1">
      <c r="B55" s="47"/>
      <c r="E55" s="47"/>
      <c r="H55" s="47"/>
      <c r="I55" s="47"/>
      <c r="L55" s="47"/>
      <c r="O55" s="47"/>
      <c r="R55" s="47"/>
      <c r="U55" s="47"/>
    </row>
    <row r="56" ht="15.75" customHeight="1">
      <c r="B56" s="47"/>
      <c r="E56" s="47"/>
      <c r="H56" s="47"/>
      <c r="I56" s="47"/>
      <c r="L56" s="47"/>
      <c r="O56" s="47"/>
      <c r="R56" s="47"/>
      <c r="U56" s="47"/>
    </row>
    <row r="57" ht="15.75" customHeight="1">
      <c r="B57" s="47"/>
      <c r="E57" s="47"/>
      <c r="H57" s="47"/>
      <c r="I57" s="47"/>
      <c r="L57" s="47"/>
      <c r="O57" s="47"/>
      <c r="R57" s="47"/>
      <c r="U57" s="47"/>
    </row>
    <row r="58" ht="15.75" customHeight="1">
      <c r="B58" s="47"/>
      <c r="E58" s="47"/>
      <c r="H58" s="47"/>
      <c r="I58" s="47"/>
      <c r="L58" s="47"/>
      <c r="O58" s="47"/>
      <c r="R58" s="47"/>
      <c r="U58" s="47"/>
    </row>
    <row r="59" ht="15.75" customHeight="1">
      <c r="B59" s="47"/>
      <c r="E59" s="47"/>
      <c r="H59" s="47"/>
      <c r="I59" s="47"/>
      <c r="L59" s="47"/>
      <c r="O59" s="47"/>
      <c r="R59" s="47"/>
      <c r="U59" s="47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AD$44"/>
  <mergeCells count="8">
    <mergeCell ref="A1:AD1"/>
    <mergeCell ref="A2:H2"/>
    <mergeCell ref="I2:K2"/>
    <mergeCell ref="L2:N2"/>
    <mergeCell ref="O2:Q2"/>
    <mergeCell ref="R2:T2"/>
    <mergeCell ref="U2:W2"/>
    <mergeCell ref="X2:AD2"/>
  </mergeCells>
  <conditionalFormatting sqref="I4:I44 I46:I1000 L4:L44 L46:L1000 O4:O44 O46:O1000 R4:R44 R46:R1000 U4:U44 U46:U1000">
    <cfRule type="cellIs" dxfId="0" priority="1" operator="equal">
      <formula>"Completado"</formula>
    </cfRule>
  </conditionalFormatting>
  <conditionalFormatting sqref="I4:I44 I46:I1000 L4:L44 L46:L1000 O4:O44 O46:O1000 R4:R44 R46:R1000 U4:U44 U46:U1000">
    <cfRule type="cellIs" dxfId="1" priority="2" operator="equal">
      <formula>"En proceso"</formula>
    </cfRule>
  </conditionalFormatting>
  <conditionalFormatting sqref="I4:I44 I46:I1000 L4:L44 L46:L1000 O4:O44 O46:O1000 R4:R44 R46:R1000 U4:U44 U46:U1000">
    <cfRule type="cellIs" dxfId="2" priority="3" operator="equal">
      <formula>"Bloqueado"</formula>
    </cfRule>
  </conditionalFormatting>
  <conditionalFormatting sqref="I4:I44 I46:I1000 L4:L44 L46:L1000 O4:O44 O46:O1000 R4:R44 R46:R1000 U4:U44 U46:U1000">
    <cfRule type="cellIs" dxfId="3" priority="4" operator="equal">
      <formula>"No aplica"</formula>
    </cfRule>
  </conditionalFormatting>
  <conditionalFormatting sqref="AB4:AB44 AB46:AB1000">
    <cfRule type="cellIs" dxfId="4" priority="5" operator="lessThan">
      <formula>0</formula>
    </cfRule>
  </conditionalFormatting>
  <conditionalFormatting sqref="AC4:AC44 AC46:AC1000">
    <cfRule type="cellIs" dxfId="5" priority="6" operator="equal">
      <formula>"Cerrado"</formula>
    </cfRule>
  </conditionalFormatting>
  <conditionalFormatting sqref="AC4:AC44 AC46:AC1000">
    <cfRule type="cellIs" dxfId="0" priority="7" operator="equal">
      <formula>"En tiempo"</formula>
    </cfRule>
  </conditionalFormatting>
  <conditionalFormatting sqref="AC4:AC44 AC46:AC1000">
    <cfRule type="cellIs" dxfId="1" priority="8" operator="equal">
      <formula>"En riesgo"</formula>
    </cfRule>
  </conditionalFormatting>
  <conditionalFormatting sqref="AC4:AC44 AC46:AC1000">
    <cfRule type="cellIs" dxfId="2" priority="9" operator="equal">
      <formula>"Vencido"</formula>
    </cfRule>
  </conditionalFormatting>
  <conditionalFormatting sqref="AC4:AC44 AC46:AC1000">
    <cfRule type="cellIs" dxfId="2" priority="10" operator="equal">
      <formula>"Bloqueado"</formula>
    </cfRule>
  </conditionalFormatting>
  <conditionalFormatting sqref="AC4:AC44 AC46:AC1000">
    <cfRule type="cellIs" dxfId="6" priority="11" operator="equal">
      <formula>"Sin fecha"</formula>
    </cfRule>
  </conditionalFormatting>
  <dataValidations>
    <dataValidation type="list" allowBlank="1" sqref="E4:E44 E46:E59">
      <formula1>Cat_Areas</formula1>
    </dataValidation>
    <dataValidation type="list" allowBlank="1" sqref="H4:H44 H46:H59">
      <formula1>Cat_Prioridad</formula1>
    </dataValidation>
    <dataValidation type="list" allowBlank="1" sqref="B4:B44 B46:B59">
      <formula1>Cat_Modulos</formula1>
    </dataValidation>
    <dataValidation type="list" allowBlank="1" sqref="I4:I44 L4:L44 O4:O44 R4:R44 U4:U44 I46:I59 L46:L59 O46:O59 R46:R59 U46:U59">
      <formula1>Cat_Estatus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2026-08-12T17:49:15Z</dcterms:created>
  <dc:creator>openpyxl</dc:creator>
</cp:coreProperties>
</file>