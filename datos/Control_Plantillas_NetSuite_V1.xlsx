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500" firstSheet="0" activeTab="3" autoFilterDateGrouping="1"/>
  </bookViews>
  <sheets>
    <sheet xmlns:r="http://schemas.openxmlformats.org/officeDocument/2006/relationships" name="Resumen_Ejecutivo" sheetId="1" state="visible" r:id="rId1"/>
    <sheet xmlns:r="http://schemas.openxmlformats.org/officeDocument/2006/relationships" name="Instructivo" sheetId="2" state="visible" r:id="rId2"/>
    <sheet xmlns:r="http://schemas.openxmlformats.org/officeDocument/2006/relationships" name="Catalogos" sheetId="3" state="hidden" r:id="rId3"/>
    <sheet xmlns:r="http://schemas.openxmlformats.org/officeDocument/2006/relationships" name="Control_Plantillas" sheetId="4" state="visible" r:id="rId4"/>
  </sheets>
  <definedNames>
    <definedName name="Cat_Areas">Catalogos!$H$3:$H$10</definedName>
    <definedName name="Cat_Estatus">Catalogos!$A$3:$A$7</definedName>
    <definedName name="Cat_Etapas">Catalogos!$J$3:$J$8</definedName>
    <definedName name="Cat_Factor">Catalogos!$B$3:$B$7</definedName>
    <definedName name="Cat_Modulos">Catalogos!$D$3:$D$8</definedName>
    <definedName name="Cat_Prioridad">Catalogos!$F$3:$F$6</definedName>
    <definedName name="_xlnm._FilterDatabase" localSheetId="3" hidden="1">'Control_Plantillas'!$A$3:$AE$45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/mm/yyyy"/>
    <numFmt numFmtId="166" formatCode="yyyy-mm-dd h:mm:ss"/>
  </numFmts>
  <fonts count="18">
    <font>
      <name val="Calibri"/>
      <charset val="1"/>
      <family val="2"/>
      <color theme="1"/>
      <sz val="11"/>
    </font>
    <font>
      <name val="Arial"/>
      <family val="2"/>
      <b val="1"/>
      <color rgb="FF0B2A4A"/>
      <sz val="15"/>
    </font>
    <font>
      <name val="Arial"/>
      <family val="2"/>
      <color rgb="FF667085"/>
      <sz val="10"/>
    </font>
    <font>
      <name val="Arial"/>
      <family val="2"/>
      <i val="1"/>
      <color rgb="FF667085"/>
      <sz val="10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B2A4A"/>
      <sz val="11"/>
    </font>
    <font>
      <name val="Arial"/>
      <family val="2"/>
      <b val="1"/>
      <color rgb="FFFFFFFF"/>
      <sz val="9"/>
    </font>
    <font>
      <name val="Arial"/>
      <family val="2"/>
      <b val="1"/>
      <color rgb="FF0B2A4A"/>
      <sz val="10"/>
    </font>
    <font>
      <name val="Arial"/>
      <family val="2"/>
      <b val="1"/>
      <color rgb="FF0B2A4A"/>
      <sz val="14"/>
    </font>
    <font>
      <name val="Arial"/>
      <family val="2"/>
      <b val="1"/>
      <sz val="10"/>
    </font>
    <font>
      <name val="Arial"/>
      <family val="2"/>
      <color rgb="FF1F4E79"/>
      <sz val="10"/>
    </font>
    <font>
      <name val="Arial"/>
      <family val="2"/>
      <b val="1"/>
      <color rgb="FFFFFFFF"/>
      <sz val="10"/>
    </font>
    <font>
      <name val="Arial"/>
      <family val="2"/>
      <b val="1"/>
      <sz val="9"/>
    </font>
    <font>
      <name val="Arial"/>
      <family val="2"/>
      <b val="1"/>
      <color rgb="FFFFFFFF"/>
      <sz val="13"/>
    </font>
    <font>
      <name val="Arial"/>
      <family val="2"/>
      <sz val="9"/>
    </font>
    <font>
      <name val="Arial"/>
      <family val="2"/>
      <i val="1"/>
      <sz val="9"/>
    </font>
    <font>
      <name val="Arial"/>
      <family val="2"/>
      <sz val="9"/>
    </font>
  </fonts>
  <fills count="7">
    <fill>
      <patternFill/>
    </fill>
    <fill>
      <patternFill patternType="gray125"/>
    </fill>
    <fill>
      <patternFill patternType="solid">
        <fgColor rgb="FF0B2A4A"/>
        <bgColor rgb="FF16406B"/>
      </patternFill>
    </fill>
    <fill>
      <patternFill patternType="solid">
        <fgColor rgb="FF2E5F8A"/>
        <bgColor rgb="FF1F4E79"/>
      </patternFill>
    </fill>
    <fill>
      <patternFill patternType="solid">
        <fgColor rgb="FFF2F4F7"/>
        <bgColor rgb="FFFFFFFF"/>
      </patternFill>
    </fill>
    <fill>
      <patternFill patternType="solid">
        <fgColor rgb="FF16406B"/>
        <bgColor rgb="FF1F4E79"/>
      </patternFill>
    </fill>
    <fill>
      <patternFill patternType="solid">
        <fgColor rgb="FFFFF2CC"/>
        <bgColor rgb="FFF2F4F7"/>
      </patternFill>
    </fill>
  </fills>
  <borders count="5"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>
      <left style="thin">
        <color rgb="FFBFC7D1"/>
      </left>
      <right/>
      <top style="thin">
        <color rgb="FFBFC7D1"/>
      </top>
      <bottom style="thin">
        <color rgb="FFBFC7D1"/>
      </bottom>
      <diagonal/>
    </border>
    <border>
      <left/>
      <right/>
      <top style="thin">
        <color rgb="FFBFC7D1"/>
      </top>
      <bottom/>
      <diagonal/>
    </border>
    <border>
      <left/>
      <right/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1" fontId="6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left"/>
    </xf>
    <xf numFmtId="0" fontId="8" fillId="4" borderId="1" applyAlignment="1" pivotButton="0" quotePrefix="0" xfId="0">
      <alignment horizontal="center"/>
    </xf>
    <xf numFmtId="164" fontId="8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12" fillId="2" borderId="0" pivotButton="0" quotePrefix="0" xfId="0"/>
    <xf numFmtId="9" fontId="5" fillId="0" borderId="0" pivotButton="0" quotePrefix="0" xfId="0"/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165" fontId="15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9" fontId="13" fillId="0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 wrapText="1"/>
    </xf>
    <xf numFmtId="0" fontId="14" fillId="2" borderId="0" applyAlignment="1" pivotButton="0" quotePrefix="0" xfId="0">
      <alignment vertical="center"/>
    </xf>
    <xf numFmtId="0" fontId="7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4" fillId="2" borderId="0" pivotButton="0" quotePrefix="0" xfId="0"/>
    <xf numFmtId="0" fontId="11" fillId="0" borderId="2" pivotButton="0" quotePrefix="0" xfId="0"/>
    <xf numFmtId="0" fontId="5" fillId="0" borderId="0" applyAlignment="1" pivotButton="0" quotePrefix="0" xfId="0">
      <alignment vertical="center"/>
    </xf>
    <xf numFmtId="0" fontId="4" fillId="5" borderId="0" pivotButton="0" quotePrefix="0" xfId="0"/>
    <xf numFmtId="0" fontId="0" fillId="0" borderId="4" pivotButton="0" quotePrefix="0" xfId="0"/>
    <xf numFmtId="166" fontId="15" fillId="0" borderId="1" applyAlignment="1" pivotButton="0" quotePrefix="0" xfId="0">
      <alignment horizontal="center" vertical="center"/>
    </xf>
  </cellXfs>
  <cellStyles count="1">
    <cellStyle name="Normal" xfId="0" builtinId="0"/>
  </cellStyles>
  <dxfs count="27">
    <dxf>
      <font>
        <name val="Arial"/>
        <charset val="1"/>
        <b val="1"/>
        <color rgb="FF667085"/>
        <sz val="9"/>
      </font>
      <fill>
        <patternFill>
          <bgColor rgb="FFE4E7EC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1F4E79"/>
        <sz val="9"/>
      </font>
      <fill>
        <patternFill>
          <bgColor rgb="FFD9E8FB"/>
        </patternFill>
      </fill>
    </dxf>
    <dxf>
      <font>
        <name val="Arial"/>
        <charset val="1"/>
        <b val="1"/>
        <color rgb="FF9C0006"/>
        <sz val="9"/>
      </font>
    </dxf>
    <dxf>
      <font>
        <name val="Arial"/>
        <charset val="1"/>
        <color rgb="FF667085"/>
        <sz val="9"/>
      </font>
      <fill>
        <patternFill>
          <bgColor rgb="FFE4E7EC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color rgb="FF667085"/>
        <sz val="9"/>
      </font>
      <fill>
        <patternFill>
          <bgColor rgb="FFE4E7EC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color rgb="FF667085"/>
        <sz val="9"/>
      </font>
      <fill>
        <patternFill>
          <bgColor rgb="FFE4E7EC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color rgb="FF667085"/>
        <sz val="9"/>
      </font>
      <fill>
        <patternFill>
          <bgColor rgb="FFE4E7EC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color rgb="FF667085"/>
        <sz val="9"/>
      </font>
      <fill>
        <patternFill>
          <bgColor rgb="FFE4E7EC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C7D1"/>
      <rgbColor rgb="FF808080"/>
      <rgbColor rgb="FF9999FF"/>
      <rgbColor rgb="FF993366"/>
      <rgbColor rgb="FFFFF2CC"/>
      <rgbColor rgb="FFD9E8FB"/>
      <rgbColor rgb="FF660066"/>
      <rgbColor rgb="FFFF8080"/>
      <rgbColor rgb="FF2E5F8A"/>
      <rgbColor rgb="FFE4E7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B2A4A"/>
      <rgbColor rgb="FF339966"/>
      <rgbColor rgb="FF003300"/>
      <rgbColor rgb="FF333300"/>
      <rgbColor rgb="FF993300"/>
      <rgbColor rgb="FF993366"/>
      <rgbColor rgb="FF16406B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0" customWidth="1" min="1" max="1"/>
    <col width="4" customWidth="1" min="2" max="2"/>
    <col width="14" customWidth="1" min="3" max="3"/>
    <col width="3" customWidth="1" min="4" max="4"/>
    <col width="22" customWidth="1" min="5" max="5"/>
    <col width="15" customWidth="1" min="6" max="12"/>
  </cols>
  <sheetData>
    <row r="1" ht="19" customHeight="1">
      <c r="A1" s="1" t="inlineStr">
        <is>
          <t>TABLERO DE CONTROL — PLANTILLAS DE MIGRACIÓN ORACLE NETSUITE</t>
        </is>
      </c>
    </row>
    <row r="2">
      <c r="A2" s="2" t="inlineStr">
        <is>
          <t>GRUPO ESTEVEZ · Etapa vigente: llenado de plantillas por áreas y Key Users</t>
        </is>
      </c>
    </row>
    <row r="3">
      <c r="A3" s="3">
        <f>" Actualizado al: "&amp;TEXT(TODAY(),"DD/MM/YYYY")</f>
        <v/>
      </c>
    </row>
    <row r="4"/>
    <row r="5">
      <c r="A5" s="38" t="inlineStr">
        <is>
          <t>INDICADORES CLAVE</t>
        </is>
      </c>
      <c r="E5" s="38" t="inlineStr">
        <is>
          <t>AVANCE POR MÓDULO</t>
        </is>
      </c>
    </row>
    <row r="6">
      <c r="A6" s="4" t="inlineStr">
        <is>
          <t>Plantillas totales</t>
        </is>
      </c>
      <c r="B6" s="5" t="n"/>
      <c r="C6" s="6">
        <f>COUNTA(Control_Plantillas!$A$4:$A$60)</f>
        <v/>
      </c>
      <c r="E6" s="7" t="inlineStr">
        <is>
          <t>Módulo</t>
        </is>
      </c>
      <c r="F6" s="7" t="inlineStr">
        <is>
          <t>Plantillas</t>
        </is>
      </c>
      <c r="G6" s="7" t="inlineStr">
        <is>
          <t>% Avance</t>
        </is>
      </c>
      <c r="H6" s="7" t="inlineStr">
        <is>
          <t>E1 Llenado OK</t>
        </is>
      </c>
      <c r="I6" s="7" t="inlineStr">
        <is>
          <t>E2 Revisión OK</t>
        </is>
      </c>
      <c r="J6" s="7" t="inlineStr">
        <is>
          <t>E3 Repositorio OK</t>
        </is>
      </c>
      <c r="K6" s="7" t="inlineStr">
        <is>
          <t>E4 Sandbox OK</t>
        </is>
      </c>
      <c r="L6" s="7" t="inlineStr">
        <is>
          <t>E5 Productivo OK</t>
        </is>
      </c>
    </row>
    <row r="7">
      <c r="A7" s="4" t="inlineStr">
        <is>
          <t>Avance global ponderado</t>
        </is>
      </c>
      <c r="B7" s="5" t="n"/>
      <c r="C7" s="8">
        <f>IFERROR(AVERAGE(Control_Plantillas!$Z$4:$Z$60),0)</f>
        <v/>
      </c>
      <c r="E7" s="9" t="inlineStr">
        <is>
          <t>Finanzas (R2R)</t>
        </is>
      </c>
      <c r="F7" s="10">
        <f>COUNTIF(Control_Plantillas!$B$4:$B$60,$E7)</f>
        <v/>
      </c>
      <c r="G7" s="11">
        <f>IFERROR(AVERAGEIF(Control_Plantillas!$B$4:$B$60,$E7,Control_Plantillas!$Z$4:$Z$60),0)</f>
        <v/>
      </c>
      <c r="H7" s="10">
        <f>COUNTIFS(Control_Plantillas!$B$4:$B$60,$E7,Control_Plantillas!$I$4:$I$60,"Completado")</f>
        <v/>
      </c>
      <c r="I7" s="10">
        <f>COUNTIFS(Control_Plantillas!$B$4:$B$60,$E7,Control_Plantillas!$L$4:$L$60,"Completado")</f>
        <v/>
      </c>
      <c r="J7" s="10">
        <f>COUNTIFS(Control_Plantillas!$B$4:$B$60,$E7,Control_Plantillas!$O$4:$O$60,"Completado")</f>
        <v/>
      </c>
      <c r="K7" s="10">
        <f>COUNTIFS(Control_Plantillas!$B$4:$B$60,$E7,Control_Plantillas!$R$4:$R$60,"Completado")</f>
        <v/>
      </c>
      <c r="L7" s="10">
        <f>COUNTIFS(Control_Plantillas!$B$4:$B$60,$E7,Control_Plantillas!$U$4:$U$60,"Completado")</f>
        <v/>
      </c>
    </row>
    <row r="8">
      <c r="A8" s="4" t="inlineStr">
        <is>
          <t>Llenado completado</t>
        </is>
      </c>
      <c r="B8" s="5" t="n"/>
      <c r="C8" s="6">
        <f>COUNTIF(Control_Plantillas!$I$4:$I$60,"Completado")</f>
        <v/>
      </c>
      <c r="E8" s="9" t="inlineStr">
        <is>
          <t>Compras (P2P)</t>
        </is>
      </c>
      <c r="F8" s="10">
        <f>COUNTIF(Control_Plantillas!$B$4:$B$60,$E8)</f>
        <v/>
      </c>
      <c r="G8" s="11">
        <f>IFERROR(AVERAGEIF(Control_Plantillas!$B$4:$B$60,$E8,Control_Plantillas!$Z$4:$Z$60),0)</f>
        <v/>
      </c>
      <c r="H8" s="10">
        <f>COUNTIFS(Control_Plantillas!$B$4:$B$60,$E8,Control_Plantillas!$I$4:$I$60,"Completado")</f>
        <v/>
      </c>
      <c r="I8" s="10">
        <f>COUNTIFS(Control_Plantillas!$B$4:$B$60,$E8,Control_Plantillas!$L$4:$L$60,"Completado")</f>
        <v/>
      </c>
      <c r="J8" s="10">
        <f>COUNTIFS(Control_Plantillas!$B$4:$B$60,$E8,Control_Plantillas!$O$4:$O$60,"Completado")</f>
        <v/>
      </c>
      <c r="K8" s="10">
        <f>COUNTIFS(Control_Plantillas!$B$4:$B$60,$E8,Control_Plantillas!$R$4:$R$60,"Completado")</f>
        <v/>
      </c>
      <c r="L8" s="10">
        <f>COUNTIFS(Control_Plantillas!$B$4:$B$60,$E8,Control_Plantillas!$U$4:$U$60,"Completado")</f>
        <v/>
      </c>
    </row>
    <row r="9">
      <c r="A9" s="4" t="inlineStr">
        <is>
          <t>Llenado en proceso</t>
        </is>
      </c>
      <c r="B9" s="5" t="n"/>
      <c r="C9" s="6">
        <f>COUNTIF(Control_Plantillas!$I$4:$I$60,"En proceso")</f>
        <v/>
      </c>
      <c r="E9" s="9" t="inlineStr">
        <is>
          <t>Ventas (O2C)</t>
        </is>
      </c>
      <c r="F9" s="10">
        <f>COUNTIF(Control_Plantillas!$B$4:$B$60,$E9)</f>
        <v/>
      </c>
      <c r="G9" s="11">
        <f>IFERROR(AVERAGEIF(Control_Plantillas!$B$4:$B$60,$E9,Control_Plantillas!$Z$4:$Z$60),0)</f>
        <v/>
      </c>
      <c r="H9" s="10">
        <f>COUNTIFS(Control_Plantillas!$B$4:$B$60,$E9,Control_Plantillas!$I$4:$I$60,"Completado")</f>
        <v/>
      </c>
      <c r="I9" s="10">
        <f>COUNTIFS(Control_Plantillas!$B$4:$B$60,$E9,Control_Plantillas!$L$4:$L$60,"Completado")</f>
        <v/>
      </c>
      <c r="J9" s="10">
        <f>COUNTIFS(Control_Plantillas!$B$4:$B$60,$E9,Control_Plantillas!$O$4:$O$60,"Completado")</f>
        <v/>
      </c>
      <c r="K9" s="10">
        <f>COUNTIFS(Control_Plantillas!$B$4:$B$60,$E9,Control_Plantillas!$R$4:$R$60,"Completado")</f>
        <v/>
      </c>
      <c r="L9" s="10">
        <f>COUNTIFS(Control_Plantillas!$B$4:$B$60,$E9,Control_Plantillas!$U$4:$U$60,"Completado")</f>
        <v/>
      </c>
    </row>
    <row r="10">
      <c r="A10" s="4" t="inlineStr">
        <is>
          <t>Sin iniciar</t>
        </is>
      </c>
      <c r="B10" s="5" t="n"/>
      <c r="C10" s="6">
        <f>COUNTIF(Control_Plantillas!$I$4:$I$60,"No iniciado")</f>
        <v/>
      </c>
      <c r="E10" s="9" t="inlineStr">
        <is>
          <t>Inventarios (D2B)</t>
        </is>
      </c>
      <c r="F10" s="10">
        <f>COUNTIF(Control_Plantillas!$B$4:$B$60,$E10)</f>
        <v/>
      </c>
      <c r="G10" s="11">
        <f>IFERROR(AVERAGEIF(Control_Plantillas!$B$4:$B$60,$E10,Control_Plantillas!$Z$4:$Z$60),0)</f>
        <v/>
      </c>
      <c r="H10" s="10">
        <f>COUNTIFS(Control_Plantillas!$B$4:$B$60,$E10,Control_Plantillas!$I$4:$I$60,"Completado")</f>
        <v/>
      </c>
      <c r="I10" s="10">
        <f>COUNTIFS(Control_Plantillas!$B$4:$B$60,$E10,Control_Plantillas!$L$4:$L$60,"Completado")</f>
        <v/>
      </c>
      <c r="J10" s="10">
        <f>COUNTIFS(Control_Plantillas!$B$4:$B$60,$E10,Control_Plantillas!$O$4:$O$60,"Completado")</f>
        <v/>
      </c>
      <c r="K10" s="10">
        <f>COUNTIFS(Control_Plantillas!$B$4:$B$60,$E10,Control_Plantillas!$R$4:$R$60,"Completado")</f>
        <v/>
      </c>
      <c r="L10" s="10">
        <f>COUNTIFS(Control_Plantillas!$B$4:$B$60,$E10,Control_Plantillas!$U$4:$U$60,"Completado")</f>
        <v/>
      </c>
    </row>
    <row r="11">
      <c r="A11" s="4" t="inlineStr">
        <is>
          <t>Bloqueadas</t>
        </is>
      </c>
      <c r="B11" s="5" t="n"/>
      <c r="C11" s="6">
        <f>COUNTIF(Control_Plantillas!$AC$4:$AC$60,"Bloqueado")</f>
        <v/>
      </c>
      <c r="E11" s="9" t="inlineStr">
        <is>
          <t>Manufactura (MFG)</t>
        </is>
      </c>
      <c r="F11" s="10">
        <f>COUNTIF(Control_Plantillas!$B$4:$B$60,$E11)</f>
        <v/>
      </c>
      <c r="G11" s="11">
        <f>IFERROR(AVERAGEIF(Control_Plantillas!$B$4:$B$60,$E11,Control_Plantillas!$Z$4:$Z$60),0)</f>
        <v/>
      </c>
      <c r="H11" s="10">
        <f>COUNTIFS(Control_Plantillas!$B$4:$B$60,$E11,Control_Plantillas!$I$4:$I$60,"Completado")</f>
        <v/>
      </c>
      <c r="I11" s="10">
        <f>COUNTIFS(Control_Plantillas!$B$4:$B$60,$E11,Control_Plantillas!$L$4:$L$60,"Completado")</f>
        <v/>
      </c>
      <c r="J11" s="10">
        <f>COUNTIFS(Control_Plantillas!$B$4:$B$60,$E11,Control_Plantillas!$O$4:$O$60,"Completado")</f>
        <v/>
      </c>
      <c r="K11" s="10">
        <f>COUNTIFS(Control_Plantillas!$B$4:$B$60,$E11,Control_Plantillas!$R$4:$R$60,"Completado")</f>
        <v/>
      </c>
      <c r="L11" s="10">
        <f>COUNTIFS(Control_Plantillas!$B$4:$B$60,$E11,Control_Plantillas!$U$4:$U$60,"Completado")</f>
        <v/>
      </c>
    </row>
    <row r="12">
      <c r="A12" s="4" t="inlineStr">
        <is>
          <t>Vencidas</t>
        </is>
      </c>
      <c r="B12" s="5" t="n"/>
      <c r="C12" s="6">
        <f>COUNTIF(Control_Plantillas!$AC$4:$AC$60,"Vencido")</f>
        <v/>
      </c>
      <c r="E12" s="9" t="inlineStr">
        <is>
          <t>Activos Fijos (FA)</t>
        </is>
      </c>
      <c r="F12" s="10">
        <f>COUNTIF(Control_Plantillas!$B$4:$B$60,$E12)</f>
        <v/>
      </c>
      <c r="G12" s="11">
        <f>IFERROR(AVERAGEIF(Control_Plantillas!$B$4:$B$60,$E12,Control_Plantillas!$Z$4:$Z$60),0)</f>
        <v/>
      </c>
      <c r="H12" s="10">
        <f>COUNTIFS(Control_Plantillas!$B$4:$B$60,$E12,Control_Plantillas!$I$4:$I$60,"Completado")</f>
        <v/>
      </c>
      <c r="I12" s="10">
        <f>COUNTIFS(Control_Plantillas!$B$4:$B$60,$E12,Control_Plantillas!$L$4:$L$60,"Completado")</f>
        <v/>
      </c>
      <c r="J12" s="10">
        <f>COUNTIFS(Control_Plantillas!$B$4:$B$60,$E12,Control_Plantillas!$O$4:$O$60,"Completado")</f>
        <v/>
      </c>
      <c r="K12" s="10">
        <f>COUNTIFS(Control_Plantillas!$B$4:$B$60,$E12,Control_Plantillas!$R$4:$R$60,"Completado")</f>
        <v/>
      </c>
      <c r="L12" s="10">
        <f>COUNTIFS(Control_Plantillas!$B$4:$B$60,$E12,Control_Plantillas!$U$4:$U$60,"Completado")</f>
        <v/>
      </c>
    </row>
    <row r="13">
      <c r="A13" s="4" t="inlineStr">
        <is>
          <t>En riesgo (≤7 días)</t>
        </is>
      </c>
      <c r="B13" s="5" t="n"/>
      <c r="C13" s="6">
        <f>COUNTIF(Control_Plantillas!$AC$4:$AC$60,"En riesgo")</f>
        <v/>
      </c>
      <c r="E13" s="12" t="inlineStr">
        <is>
          <t>TOTAL</t>
        </is>
      </c>
      <c r="F13" s="13">
        <f>SUM(F7:F12)</f>
        <v/>
      </c>
      <c r="G13" s="14">
        <f>IFERROR(AVERAGE(Control_Plantillas!$Z$4:$Z$60),0)</f>
        <v/>
      </c>
      <c r="H13" s="13">
        <f>SUM(H7:H12)</f>
        <v/>
      </c>
      <c r="I13" s="13">
        <f>SUM(I7:I12)</f>
        <v/>
      </c>
      <c r="J13" s="13">
        <f>SUM(J7:J12)</f>
        <v/>
      </c>
      <c r="K13" s="13">
        <f>SUM(K7:K12)</f>
        <v/>
      </c>
      <c r="L13" s="13">
        <f>SUM(L7:L12)</f>
        <v/>
      </c>
    </row>
    <row r="14">
      <c r="A14" s="4" t="inlineStr">
        <is>
          <t>Sin fecha compromiso</t>
        </is>
      </c>
      <c r="B14" s="5" t="n"/>
      <c r="C14" s="6">
        <f>COUNTIF(Control_Plantillas!$AC$4:$AC$60,"Sin fecha")</f>
        <v/>
      </c>
    </row>
    <row r="15">
      <c r="A15" s="4" t="inlineStr">
        <is>
          <t>Cerradas (productivo)</t>
        </is>
      </c>
      <c r="B15" s="5" t="n"/>
      <c r="C15" s="6">
        <f>COUNTIF(Control_Plantillas!$AC$4:$AC$60,"Cerrado")</f>
        <v/>
      </c>
    </row>
    <row r="16"/>
    <row r="17"/>
    <row r="18">
      <c r="E18" s="38" t="inlineStr">
        <is>
          <t>DISTRIBUCIÓN POR ETAPA ACTUAL</t>
        </is>
      </c>
    </row>
    <row r="19">
      <c r="E19" s="15" t="inlineStr">
        <is>
          <t>Etapa</t>
        </is>
      </c>
      <c r="F19" s="15" t="inlineStr">
        <is>
          <t>Plantillas</t>
        </is>
      </c>
      <c r="G19" s="15" t="inlineStr">
        <is>
          <t>% del total</t>
        </is>
      </c>
    </row>
    <row r="20">
      <c r="E20" s="9" t="inlineStr">
        <is>
          <t>1. Llenado de plantilla</t>
        </is>
      </c>
      <c r="F20" s="10">
        <f>COUNTIF(Control_Plantillas!$Y$4:$Y$60,$E20)</f>
        <v/>
      </c>
      <c r="G20" s="11">
        <f>IFERROR($F20/SUM($F$20:$F$25),0)</f>
        <v/>
      </c>
    </row>
    <row r="21">
      <c r="E21" s="9" t="inlineStr">
        <is>
          <t>2. Revisión y validación</t>
        </is>
      </c>
      <c r="F21" s="10">
        <f>COUNTIF(Control_Plantillas!$Y$4:$Y$60,$E21)</f>
        <v/>
      </c>
      <c r="G21" s="11">
        <f>IFERROR($F21/SUM($F$20:$F$25),0)</f>
        <v/>
      </c>
    </row>
    <row r="22">
      <c r="E22" s="9" t="inlineStr">
        <is>
          <t>3. Carga en repositorio Oracle</t>
        </is>
      </c>
      <c r="F22" s="10">
        <f>COUNTIF(Control_Plantillas!$Y$4:$Y$60,$E22)</f>
        <v/>
      </c>
      <c r="G22" s="11">
        <f>IFERROR($F22/SUM($F$20:$F$25),0)</f>
        <v/>
      </c>
    </row>
    <row r="23">
      <c r="E23" s="9" t="inlineStr">
        <is>
          <t>4. Ambiente Sandbox</t>
        </is>
      </c>
      <c r="F23" s="10">
        <f>COUNTIF(Control_Plantillas!$Y$4:$Y$60,$E23)</f>
        <v/>
      </c>
      <c r="G23" s="11">
        <f>IFERROR($F23/SUM($F$20:$F$25),0)</f>
        <v/>
      </c>
    </row>
    <row r="24">
      <c r="E24" s="9" t="inlineStr">
        <is>
          <t>5. Ambiente Productivo</t>
        </is>
      </c>
      <c r="F24" s="10">
        <f>COUNTIF(Control_Plantillas!$Y$4:$Y$60,$E24)</f>
        <v/>
      </c>
      <c r="G24" s="11">
        <f>IFERROR($F24/SUM($F$20:$F$25),0)</f>
        <v/>
      </c>
    </row>
    <row r="25">
      <c r="E25" s="9" t="inlineStr">
        <is>
          <t>6. Cerrado</t>
        </is>
      </c>
      <c r="F25" s="10">
        <f>COUNTIF(Control_Plantillas!$Y$4:$Y$60,$E25)</f>
        <v/>
      </c>
      <c r="G25" s="11">
        <f>IFERROR($F25/SUM($F$20:$F$25),0)</f>
        <v/>
      </c>
    </row>
  </sheetData>
  <mergeCells count="3">
    <mergeCell ref="A5:C5"/>
    <mergeCell ref="E5:L5"/>
    <mergeCell ref="E18:G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topLeftCell="A18" zoomScaleNormal="100" workbookViewId="0">
      <selection activeCell="C58" sqref="C58:F58"/>
    </sheetView>
  </sheetViews>
  <sheetFormatPr baseColWidth="10" defaultColWidth="8.6640625" defaultRowHeight="15"/>
  <cols>
    <col width="30" customWidth="1" min="1" max="1"/>
    <col width="22" customWidth="1" min="2" max="6"/>
  </cols>
  <sheetData>
    <row r="1" ht="18" customHeight="1">
      <c r="A1" s="16" t="inlineStr">
        <is>
          <t>INSTRUCTIVO DE USO — CONTROL DE PLANTILLAS ORACLE NETSUITE</t>
        </is>
      </c>
    </row>
    <row r="3">
      <c r="A3" s="41" t="inlineStr">
        <is>
          <t>1. ¿Qué se captura y qué se calcula solo?</t>
        </is>
      </c>
    </row>
    <row r="4">
      <c r="A4" s="40" t="inlineStr">
        <is>
          <t>•  Celdas con fondo AMARILLO: son las únicas que se capturan manualmente (Key User, Revisor y las fechas de compromiso / reales).</t>
        </is>
      </c>
    </row>
    <row r="5">
      <c r="A5" s="40" t="inlineStr">
        <is>
          <t>•  Columnas de estatus (E1 a E5): se seleccionan de la lista desplegable. No escribir texto libre.</t>
        </is>
      </c>
    </row>
    <row r="6">
      <c r="A6" s="40" t="inlineStr">
        <is>
          <t>•  Columnas X a AC (Etapa #, Etapa Actual, % Avance, Próx. Compromiso, Días Restantes y Semáforo): se calculan automáticamente. NO editar.</t>
        </is>
      </c>
    </row>
    <row r="7">
      <c r="A7" s="40" t="inlineStr">
        <is>
          <t>•  La hoja Resumen_Ejecutivo se actualiza sola a partir de la hoja Control_Plantillas.</t>
        </is>
      </c>
    </row>
    <row r="9">
      <c r="A9" s="41" t="inlineStr">
        <is>
          <t>2. Etapas del flujo y su peso en el avance</t>
        </is>
      </c>
    </row>
    <row r="10">
      <c r="A10" s="40" t="inlineStr">
        <is>
          <t>•  E1 · Llenado de plantilla por el área / Key User .................... 40%</t>
        </is>
      </c>
    </row>
    <row r="11">
      <c r="A11" s="40" t="inlineStr">
        <is>
          <t>•  E2 · Revisión y validación (PMO / consultoría) ..................... 20%</t>
        </is>
      </c>
    </row>
    <row r="12">
      <c r="A12" s="40" t="inlineStr">
        <is>
          <t>•  E3 · Carga en el repositorio de Oracle ............................. 15%</t>
        </is>
      </c>
    </row>
    <row r="13">
      <c r="A13" s="40" t="inlineStr">
        <is>
          <t>•  E4 · Carga y validación en ambiente Sandbox ........................ 15%</t>
        </is>
      </c>
    </row>
    <row r="14">
      <c r="A14" s="40" t="inlineStr">
        <is>
          <t>•  E5 · Carga en ambiente Productivo .................................. 10%</t>
        </is>
      </c>
    </row>
    <row r="15">
      <c r="A15" s="40" t="inlineStr">
        <is>
          <t>•  Los pesos son editables en la hoja Catalogos (columna L). Deben sumar 100%.</t>
        </is>
      </c>
    </row>
    <row r="17">
      <c r="A17" s="41" t="inlineStr">
        <is>
          <t>3. Valores de estatus permitidos</t>
        </is>
      </c>
    </row>
    <row r="18">
      <c r="A18" s="40" t="inlineStr">
        <is>
          <t>•  No iniciado — la etapa aún no arranca (avance 0%).</t>
        </is>
      </c>
    </row>
    <row r="19">
      <c r="A19" s="40" t="inlineStr">
        <is>
          <t>•  En proceso — etapa iniciada sin concluir (avance 50% de su peso).</t>
        </is>
      </c>
    </row>
    <row r="20">
      <c r="A20" s="40" t="inlineStr">
        <is>
          <t>•  Completado — etapa concluida y con evidencia (avance 100% de su peso).</t>
        </is>
      </c>
    </row>
    <row r="21">
      <c r="A21" s="40" t="inlineStr">
        <is>
          <t>•  Bloqueado — detenida por una dependencia o decisión. Documentar el motivo en Observaciones.</t>
        </is>
      </c>
    </row>
    <row r="22">
      <c r="A22" s="40" t="inlineStr">
        <is>
          <t>•  No aplica — la plantilla no requiere esa etapa. Cuenta como completada para el avance.</t>
        </is>
      </c>
    </row>
    <row r="24">
      <c r="A24" s="41" t="inlineStr">
        <is>
          <t>4. Lectura del semáforo</t>
        </is>
      </c>
    </row>
    <row r="25">
      <c r="A25" s="40" t="inlineStr">
        <is>
          <t>•  En tiempo — faltan más de 7 días para la fecha compromiso de la etapa vigente.</t>
        </is>
      </c>
    </row>
    <row r="26">
      <c r="A26" s="40" t="inlineStr">
        <is>
          <t>•  En riesgo — faltan 7 días o menos.</t>
        </is>
      </c>
    </row>
    <row r="27">
      <c r="A27" s="40" t="inlineStr">
        <is>
          <t>•  Vencido — la fecha compromiso ya pasó y la etapa sigue abierta.</t>
        </is>
      </c>
    </row>
    <row r="28">
      <c r="A28" s="40" t="inlineStr">
        <is>
          <t>•  Bloqueado — existe al menos una etapa marcada como bloqueada.</t>
        </is>
      </c>
    </row>
    <row r="29">
      <c r="A29" s="40" t="inlineStr">
        <is>
          <t>•  Sin fecha — falta capturar la fecha compromiso de la etapa vigente. Debe regularizarse.</t>
        </is>
      </c>
    </row>
    <row r="30">
      <c r="A30" s="40" t="inlineStr">
        <is>
          <t>•  Cerrado — la plantilla llegó a ambiente productivo.</t>
        </is>
      </c>
    </row>
    <row r="32">
      <c r="A32" s="41" t="inlineStr">
        <is>
          <t>5. Conexión con el tablero HTML</t>
        </is>
      </c>
    </row>
    <row r="33">
      <c r="A33" s="40" t="inlineStr">
        <is>
          <t>•  Abrir el archivo Tablero_Plantillas_NetSuite.html en cualquier navegador.</t>
        </is>
      </c>
    </row>
    <row r="34">
      <c r="A34" s="40" t="inlineStr">
        <is>
          <t>•  Arrastrar este archivo Excel sobre el tablero (o usar el botón Cargar archivo Excel).</t>
        </is>
      </c>
    </row>
    <row r="35">
      <c r="A35" s="40" t="inlineStr">
        <is>
          <t>•  El tablero se regenera completo con la información más reciente: KPIs, avance por módulo, embudo de etapas y detalle filtrable.</t>
        </is>
      </c>
    </row>
    <row r="36">
      <c r="A36" s="40" t="inlineStr">
        <is>
          <t>•  No se sube nada a internet: la lectura del archivo ocurre localmente en el navegador.</t>
        </is>
      </c>
    </row>
    <row r="37">
      <c r="A37" s="40" t="inlineStr">
        <is>
          <t>•  Requisito: no cambiar los nombres de la hoja Control_Plantillas ni de los encabezados de la fila 3.</t>
        </is>
      </c>
    </row>
    <row r="39">
      <c r="A39" s="41" t="inlineStr">
        <is>
          <t>6. Supuestos aplicados en la carga inicial (validar con las áreas)</t>
        </is>
      </c>
    </row>
    <row r="40">
      <c r="A40" s="40" t="inlineStr">
        <is>
          <t>•  El inventario de plantillas se construyó a partir de las capturas del repositorio compartido (Finanzas, Compras, Ventas, Inventarios y Manufactura).</t>
        </is>
      </c>
    </row>
    <row r="41">
      <c r="A41" s="40" t="inlineStr">
        <is>
          <t>•  Se marcaron como Completado en E1 únicamente las plantillas cuyo nombre indica versión Final (COA MX, 300/310/320 MX). El resto quedó En proceso.</t>
        </is>
      </c>
    </row>
    <row r="42">
      <c r="A42" s="40" t="inlineStr">
        <is>
          <t>•  Activos Fijos se incluyó con tres plantillas tentativas: no se observó carpeta en el repositorio. Pendiente de confirmar con el área.</t>
        </is>
      </c>
    </row>
    <row r="43">
      <c r="A43" s="40" t="inlineStr">
        <is>
          <t>•  No se capturaron fechas compromiso porque no fueron proporcionadas. Es la primera acción a completar con cada Key User.</t>
        </is>
      </c>
    </row>
    <row r="44">
      <c r="A44" s="40" t="inlineStr">
        <is>
          <t>•  Las etapas E2 a E5 se inicializaron en No iniciado conforme al estatus reportado del proyecto.</t>
        </is>
      </c>
    </row>
    <row r="46">
      <c r="A46" s="41" t="inlineStr">
        <is>
          <t>7. Ejemplo de captura correcta de una fila</t>
        </is>
      </c>
    </row>
    <row r="47">
      <c r="A47" s="17" t="inlineStr">
        <is>
          <t>ID</t>
        </is>
      </c>
      <c r="C47" s="39" t="inlineStr">
        <is>
          <t>VTA-01</t>
        </is>
      </c>
      <c r="D47" s="42" t="n"/>
      <c r="E47" s="42" t="n"/>
      <c r="F47" s="42" t="n"/>
    </row>
    <row r="48">
      <c r="A48" s="17" t="inlineStr">
        <is>
          <t>Módulo</t>
        </is>
      </c>
      <c r="C48" s="39" t="inlineStr">
        <is>
          <t>Ventas (O2C)</t>
        </is>
      </c>
      <c r="D48" s="42" t="n"/>
      <c r="E48" s="42" t="n"/>
      <c r="F48" s="42" t="n"/>
    </row>
    <row r="49">
      <c r="A49" s="17" t="inlineStr">
        <is>
          <t>Plantilla</t>
        </is>
      </c>
      <c r="C49" s="39" t="inlineStr">
        <is>
          <t>300 MX Clientes (Final)</t>
        </is>
      </c>
      <c r="D49" s="42" t="n"/>
      <c r="E49" s="42" t="n"/>
      <c r="F49" s="42" t="n"/>
    </row>
    <row r="50">
      <c r="A50" s="17" t="inlineStr">
        <is>
          <t>Key User</t>
        </is>
      </c>
      <c r="C50" s="39" t="inlineStr">
        <is>
          <t>Itzel Bárcena</t>
        </is>
      </c>
      <c r="D50" s="42" t="n"/>
      <c r="E50" s="42" t="n"/>
      <c r="F50" s="42" t="n"/>
    </row>
    <row r="51">
      <c r="A51" s="17" t="inlineStr">
        <is>
          <t>Revisor / Consultor</t>
        </is>
      </c>
      <c r="C51" s="39" t="inlineStr">
        <is>
          <t>Brandon Hernández</t>
        </is>
      </c>
      <c r="D51" s="42" t="n"/>
      <c r="E51" s="42" t="n"/>
      <c r="F51" s="42" t="n"/>
    </row>
    <row r="52">
      <c r="A52" s="17" t="inlineStr">
        <is>
          <t>Prioridad</t>
        </is>
      </c>
      <c r="C52" s="39" t="inlineStr">
        <is>
          <t>Crítica</t>
        </is>
      </c>
      <c r="D52" s="42" t="n"/>
      <c r="E52" s="42" t="n"/>
      <c r="F52" s="42" t="n"/>
    </row>
    <row r="53">
      <c r="A53" s="17" t="inlineStr">
        <is>
          <t>E1 Llenado</t>
        </is>
      </c>
      <c r="C53" s="39" t="inlineStr">
        <is>
          <t>Completado</t>
        </is>
      </c>
      <c r="D53" s="42" t="n"/>
      <c r="E53" s="42" t="n"/>
      <c r="F53" s="42" t="n"/>
    </row>
    <row r="54">
      <c r="A54" s="17" t="inlineStr">
        <is>
          <t>E1 F. Compromiso</t>
        </is>
      </c>
      <c r="C54" s="39" t="inlineStr">
        <is>
          <t>15/05/2026</t>
        </is>
      </c>
      <c r="D54" s="42" t="n"/>
      <c r="E54" s="42" t="n"/>
      <c r="F54" s="42" t="n"/>
    </row>
    <row r="55">
      <c r="A55" s="17" t="inlineStr">
        <is>
          <t>E1 F. Real</t>
        </is>
      </c>
      <c r="C55" s="39" t="inlineStr">
        <is>
          <t>26/05/2026</t>
        </is>
      </c>
      <c r="D55" s="42" t="n"/>
      <c r="E55" s="42" t="n"/>
      <c r="F55" s="42" t="n"/>
    </row>
    <row r="56">
      <c r="A56" s="17" t="inlineStr">
        <is>
          <t>E2 Revisión</t>
        </is>
      </c>
      <c r="C56" s="39" t="inlineStr">
        <is>
          <t>En proceso</t>
        </is>
      </c>
      <c r="D56" s="42" t="n"/>
      <c r="E56" s="42" t="n"/>
      <c r="F56" s="42" t="n"/>
    </row>
    <row r="57">
      <c r="A57" s="17" t="inlineStr">
        <is>
          <t>E2 F. Compromiso</t>
        </is>
      </c>
      <c r="C57" s="39" t="inlineStr">
        <is>
          <t>28/08/2026</t>
        </is>
      </c>
      <c r="D57" s="42" t="n"/>
      <c r="E57" s="42" t="n"/>
      <c r="F57" s="42" t="n"/>
    </row>
    <row r="58">
      <c r="A58" s="17" t="inlineStr">
        <is>
          <t>Observaciones</t>
        </is>
      </c>
      <c r="C58" s="39" t="inlineStr">
        <is>
          <t>Duplicidad de RFC entre dos clientes: requiere definición del área.</t>
        </is>
      </c>
      <c r="D58" s="42" t="n"/>
      <c r="E58" s="42" t="n"/>
      <c r="F58" s="42" t="n"/>
    </row>
  </sheetData>
  <mergeCells count="50">
    <mergeCell ref="A41:F41"/>
    <mergeCell ref="C52:F52"/>
    <mergeCell ref="C48:F48"/>
    <mergeCell ref="A46:F46"/>
    <mergeCell ref="A37:F37"/>
    <mergeCell ref="A27:F27"/>
    <mergeCell ref="A12:F12"/>
    <mergeCell ref="A18:F18"/>
    <mergeCell ref="A26:F26"/>
    <mergeCell ref="C57:F57"/>
    <mergeCell ref="A3:F3"/>
    <mergeCell ref="A21:F21"/>
    <mergeCell ref="A33:F33"/>
    <mergeCell ref="C53:F53"/>
    <mergeCell ref="A42:F42"/>
    <mergeCell ref="A14:F14"/>
    <mergeCell ref="C49:F49"/>
    <mergeCell ref="A5:F5"/>
    <mergeCell ref="A32:F32"/>
    <mergeCell ref="A22:F22"/>
    <mergeCell ref="A17:F17"/>
    <mergeCell ref="A35:F35"/>
    <mergeCell ref="A4:F4"/>
    <mergeCell ref="A20:F20"/>
    <mergeCell ref="C58:F58"/>
    <mergeCell ref="A29:F29"/>
    <mergeCell ref="A43:F43"/>
    <mergeCell ref="A10:F10"/>
    <mergeCell ref="A28:F28"/>
    <mergeCell ref="A13:F13"/>
    <mergeCell ref="A19:F19"/>
    <mergeCell ref="A44:F44"/>
    <mergeCell ref="A9:F9"/>
    <mergeCell ref="C54:F54"/>
    <mergeCell ref="A34:F34"/>
    <mergeCell ref="A40:F40"/>
    <mergeCell ref="C47:F47"/>
    <mergeCell ref="A30:F30"/>
    <mergeCell ref="A39:F39"/>
    <mergeCell ref="C55:F55"/>
    <mergeCell ref="A15:F15"/>
    <mergeCell ref="C50:F50"/>
    <mergeCell ref="A24:F24"/>
    <mergeCell ref="A11:F11"/>
    <mergeCell ref="C56:F56"/>
    <mergeCell ref="A36:F36"/>
    <mergeCell ref="A6:F6"/>
    <mergeCell ref="C51:F51"/>
    <mergeCell ref="A7:F7"/>
    <mergeCell ref="A25:F25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zoomScaleNormal="100" workbookViewId="0">
      <selection activeCell="A1" sqref="A1"/>
    </sheetView>
  </sheetViews>
  <sheetFormatPr baseColWidth="10" defaultColWidth="8.6640625" defaultRowHeight="15"/>
  <cols>
    <col width="16" customWidth="1" min="1" max="1"/>
    <col width="20" customWidth="1" min="4" max="4"/>
    <col width="28" customWidth="1" min="8" max="8"/>
    <col width="30" customWidth="1" min="10" max="10"/>
    <col width="12" customWidth="1" min="12" max="12"/>
  </cols>
  <sheetData>
    <row r="1">
      <c r="A1" s="18" t="inlineStr">
        <is>
          <t>CATÁLOGOS - No modificar sin autorización del PMO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</row>
    <row r="2">
      <c r="A2" s="20" t="inlineStr">
        <is>
          <t>Estatus</t>
        </is>
      </c>
      <c r="B2" s="20" t="inlineStr">
        <is>
          <t>Factor avance</t>
        </is>
      </c>
      <c r="C2" s="19" t="n"/>
      <c r="D2" s="20" t="inlineStr">
        <is>
          <t>Módulos</t>
        </is>
      </c>
      <c r="E2" s="19" t="n"/>
      <c r="F2" s="20" t="inlineStr">
        <is>
          <t>Prioridad</t>
        </is>
      </c>
      <c r="G2" s="19" t="n"/>
      <c r="H2" s="20" t="inlineStr">
        <is>
          <t>Áreas / Frentes</t>
        </is>
      </c>
      <c r="I2" s="19" t="n"/>
      <c r="J2" s="20" t="inlineStr">
        <is>
          <t>Etapas</t>
        </is>
      </c>
      <c r="K2" s="19" t="n"/>
      <c r="L2" s="20" t="inlineStr">
        <is>
          <t>Peso etapa</t>
        </is>
      </c>
    </row>
    <row r="3">
      <c r="A3" s="19" t="inlineStr">
        <is>
          <t>No iniciado</t>
        </is>
      </c>
      <c r="B3" s="21" t="n">
        <v>0</v>
      </c>
      <c r="C3" s="19" t="n"/>
      <c r="D3" s="19" t="inlineStr">
        <is>
          <t>Finanzas (R2R)</t>
        </is>
      </c>
      <c r="E3" s="19" t="n"/>
      <c r="F3" s="21" t="inlineStr">
        <is>
          <t>Crítica</t>
        </is>
      </c>
      <c r="G3" s="19" t="n"/>
      <c r="H3" s="19" t="inlineStr">
        <is>
          <t>Finanzas / Contabilidad</t>
        </is>
      </c>
      <c r="I3" s="19" t="n"/>
      <c r="J3" s="19" t="inlineStr">
        <is>
          <t>1. Llenado de plantilla</t>
        </is>
      </c>
      <c r="K3" s="19" t="n"/>
      <c r="L3" s="21" t="n">
        <v>0.4</v>
      </c>
    </row>
    <row r="4">
      <c r="A4" s="19" t="inlineStr">
        <is>
          <t>En proceso</t>
        </is>
      </c>
      <c r="B4" s="19" t="n">
        <v>0.5</v>
      </c>
      <c r="C4" s="19" t="n"/>
      <c r="D4" s="19" t="inlineStr">
        <is>
          <t>Compras (P2P)</t>
        </is>
      </c>
      <c r="E4" s="19" t="n"/>
      <c r="F4" s="19" t="inlineStr">
        <is>
          <t>Alta</t>
        </is>
      </c>
      <c r="G4" s="19" t="n"/>
      <c r="H4" s="19" t="inlineStr">
        <is>
          <t>Compras / Abastecimiento</t>
        </is>
      </c>
      <c r="I4" s="19" t="n"/>
      <c r="J4" s="19" t="inlineStr">
        <is>
          <t>2. Revisión y validación</t>
        </is>
      </c>
      <c r="K4" s="19" t="n"/>
      <c r="L4" s="19" t="n">
        <v>0.2</v>
      </c>
    </row>
    <row r="5">
      <c r="A5" s="19" t="inlineStr">
        <is>
          <t>Completado</t>
        </is>
      </c>
      <c r="B5" s="19" t="n">
        <v>1</v>
      </c>
      <c r="C5" s="19" t="n"/>
      <c r="D5" s="19" t="inlineStr">
        <is>
          <t>Ventas (O2C)</t>
        </is>
      </c>
      <c r="E5" s="19" t="n"/>
      <c r="F5" s="19" t="inlineStr">
        <is>
          <t>Media</t>
        </is>
      </c>
      <c r="G5" s="19" t="n"/>
      <c r="H5" s="19" t="inlineStr">
        <is>
          <t>Comercial / Ventas</t>
        </is>
      </c>
      <c r="I5" s="19" t="n"/>
      <c r="J5" s="19" t="inlineStr">
        <is>
          <t>3. Carga en repositorio Oracle</t>
        </is>
      </c>
      <c r="K5" s="19" t="n"/>
      <c r="L5" s="19" t="n">
        <v>0.15</v>
      </c>
    </row>
    <row r="6">
      <c r="A6" s="19" t="inlineStr">
        <is>
          <t>Bloqueado</t>
        </is>
      </c>
      <c r="B6" s="19" t="n">
        <v>0</v>
      </c>
      <c r="C6" s="19" t="n"/>
      <c r="D6" s="19" t="inlineStr">
        <is>
          <t>Inventarios (D2B)</t>
        </is>
      </c>
      <c r="E6" s="19" t="n"/>
      <c r="F6" s="19" t="inlineStr">
        <is>
          <t>Baja</t>
        </is>
      </c>
      <c r="G6" s="19" t="n"/>
      <c r="H6" s="19" t="inlineStr">
        <is>
          <t>Almacén / Inventarios</t>
        </is>
      </c>
      <c r="I6" s="19" t="n"/>
      <c r="J6" s="19" t="inlineStr">
        <is>
          <t>4. Ambiente Sandbox</t>
        </is>
      </c>
      <c r="K6" s="19" t="n"/>
      <c r="L6" s="19" t="n">
        <v>0.15</v>
      </c>
    </row>
    <row r="7">
      <c r="A7" s="19" t="inlineStr">
        <is>
          <t>No aplica</t>
        </is>
      </c>
      <c r="B7" s="19" t="n">
        <v>1</v>
      </c>
      <c r="C7" s="19" t="n"/>
      <c r="D7" s="19" t="inlineStr">
        <is>
          <t>Manufactura (MFG)</t>
        </is>
      </c>
      <c r="E7" s="19" t="n"/>
      <c r="F7" s="19" t="n"/>
      <c r="G7" s="19" t="n"/>
      <c r="H7" s="19" t="inlineStr">
        <is>
          <t>Manufactura / Producción</t>
        </is>
      </c>
      <c r="I7" s="19" t="n"/>
      <c r="J7" s="19" t="inlineStr">
        <is>
          <t>5. Ambiente Productivo</t>
        </is>
      </c>
      <c r="K7" s="19" t="n"/>
      <c r="L7" s="19" t="n">
        <v>0.1</v>
      </c>
    </row>
    <row r="8">
      <c r="A8" s="19" t="n"/>
      <c r="B8" s="19" t="n"/>
      <c r="C8" s="19" t="n"/>
      <c r="D8" s="19" t="inlineStr">
        <is>
          <t>Activos Fijos (FA)</t>
        </is>
      </c>
      <c r="E8" s="19" t="n"/>
      <c r="F8" s="19" t="n"/>
      <c r="G8" s="19" t="n"/>
      <c r="H8" s="19" t="inlineStr">
        <is>
          <t>Activos Fijos / Patrimonio</t>
        </is>
      </c>
      <c r="I8" s="19" t="n"/>
      <c r="J8" s="19" t="inlineStr">
        <is>
          <t>6. Cerrado</t>
        </is>
      </c>
      <c r="K8" s="19" t="n"/>
      <c r="L8" s="19" t="n">
        <v>0</v>
      </c>
    </row>
    <row r="9">
      <c r="A9" s="19" t="n"/>
      <c r="B9" s="19" t="n"/>
      <c r="C9" s="19" t="n"/>
      <c r="D9" s="19" t="n"/>
      <c r="E9" s="19" t="n"/>
      <c r="F9" s="19" t="n"/>
      <c r="G9" s="19" t="n"/>
      <c r="H9" s="19" t="inlineStr">
        <is>
          <t>Capital Humano</t>
        </is>
      </c>
      <c r="I9" s="19" t="n"/>
      <c r="J9" s="22" t="inlineStr">
        <is>
          <t>Suma de pesos (debe ser 100%)</t>
        </is>
      </c>
      <c r="K9" s="19" t="n"/>
      <c r="L9" s="21">
        <f>SUM(L3:L7)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inlineStr">
        <is>
          <t>PMO / Consultoría</t>
        </is>
      </c>
      <c r="I10" s="19" t="n"/>
      <c r="J10" s="19" t="n"/>
      <c r="K10" s="19" t="n"/>
      <c r="L10" s="19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6"/>
  <sheetViews>
    <sheetView tabSelected="1" zoomScale="85" zoomScaleNormal="85" workbookViewId="0">
      <pane xSplit="4" ySplit="3" topLeftCell="E27" activePane="bottomRight" state="frozen"/>
      <selection pane="topRight" activeCell="E1" sqref="E1"/>
      <selection pane="bottomLeft" activeCell="A4" sqref="A4"/>
      <selection pane="bottomRight" activeCell="F37" sqref="F37"/>
    </sheetView>
  </sheetViews>
  <sheetFormatPr baseColWidth="10" defaultColWidth="8.6640625" defaultRowHeight="15"/>
  <cols>
    <col width="10" customWidth="1" min="1" max="1"/>
    <col width="19" customWidth="1" min="2" max="2"/>
    <col width="10" customWidth="1" min="3" max="3"/>
    <col width="44" customWidth="1" min="4" max="4"/>
    <col width="24" customWidth="1" min="5" max="5"/>
    <col width="18" customWidth="1" min="6" max="6"/>
    <col width="20" customWidth="1" min="7" max="7"/>
    <col width="11" customWidth="1" min="8" max="8"/>
    <col width="13" customWidth="1" min="9" max="9"/>
    <col width="15" customWidth="1" min="10" max="10"/>
    <col width="13" customWidth="1" min="11" max="12"/>
    <col width="15" customWidth="1" min="13" max="13"/>
    <col width="13" customWidth="1" min="14" max="15"/>
    <col width="15" customWidth="1" min="16" max="16"/>
    <col width="13" customWidth="1" min="17" max="18"/>
    <col width="15" customWidth="1" min="19" max="19"/>
    <col width="13" customWidth="1" min="20" max="21"/>
    <col width="15" customWidth="1" min="22" max="22"/>
    <col width="13" customWidth="1" min="23" max="23"/>
    <col width="8" customWidth="1" min="24" max="24"/>
    <col width="26" customWidth="1" min="25" max="25"/>
    <col width="10" customWidth="1" min="26" max="26"/>
    <col width="15" customWidth="1" min="27" max="27"/>
    <col width="12" customWidth="1" min="28" max="29"/>
    <col width="14" customWidth="1" min="30" max="30"/>
    <col width="42" customWidth="1" min="31" max="31"/>
  </cols>
  <sheetData>
    <row r="1" ht="25.5" customHeight="1">
      <c r="A1" s="35" t="inlineStr">
        <is>
          <t>CONTROL DE PLANTILLAS DE MIGRACIÓN — ORACLE NETSUITE | ESTEVEZ.JOR</t>
        </is>
      </c>
    </row>
    <row r="2" ht="18" customHeight="1">
      <c r="A2" s="36" t="inlineStr">
        <is>
          <t>IDENTIFICACIÓN Y RESPONSABLES</t>
        </is>
      </c>
      <c r="I2" s="37" t="inlineStr">
        <is>
          <t>E1 · LLENADO</t>
        </is>
      </c>
      <c r="L2" s="37" t="inlineStr">
        <is>
          <t>E2 · REVISIÓN</t>
        </is>
      </c>
      <c r="O2" s="37" t="inlineStr">
        <is>
          <t>E3 · REPOSITORIO ORACLE</t>
        </is>
      </c>
      <c r="R2" s="37" t="inlineStr">
        <is>
          <t>E4 · SANDBOX</t>
        </is>
      </c>
      <c r="U2" s="37" t="inlineStr">
        <is>
          <t>E5 · PRODUCTIVO</t>
        </is>
      </c>
      <c r="X2" s="36" t="inlineStr">
        <is>
          <t>SEGUIMIENTO AUTOMÁTICO</t>
        </is>
      </c>
    </row>
    <row r="3" ht="33.75" customHeight="1">
      <c r="A3" s="23" t="inlineStr">
        <is>
          <t>ID</t>
        </is>
      </c>
      <c r="B3" s="23" t="inlineStr">
        <is>
          <t>Módulo</t>
        </is>
      </c>
      <c r="C3" s="23" t="inlineStr">
        <is>
          <t>Código</t>
        </is>
      </c>
      <c r="D3" s="23" t="inlineStr">
        <is>
          <t>Plantilla</t>
        </is>
      </c>
      <c r="E3" s="23" t="inlineStr">
        <is>
          <t>Área Responsable</t>
        </is>
      </c>
      <c r="F3" s="23" t="inlineStr">
        <is>
          <t>Key User</t>
        </is>
      </c>
      <c r="G3" s="23" t="inlineStr">
        <is>
          <t>Revisor / Consultor</t>
        </is>
      </c>
      <c r="H3" s="23" t="inlineStr">
        <is>
          <t>Prioridad</t>
        </is>
      </c>
      <c r="I3" s="23" t="inlineStr">
        <is>
          <t>E1 Llenado</t>
        </is>
      </c>
      <c r="J3" s="23" t="inlineStr">
        <is>
          <t>E1 F. Compromiso</t>
        </is>
      </c>
      <c r="K3" s="23" t="inlineStr">
        <is>
          <t>E1 F. Real</t>
        </is>
      </c>
      <c r="L3" s="23" t="inlineStr">
        <is>
          <t>E2 Revisión</t>
        </is>
      </c>
      <c r="M3" s="23" t="inlineStr">
        <is>
          <t>E2 F. Compromiso</t>
        </is>
      </c>
      <c r="N3" s="23" t="inlineStr">
        <is>
          <t>E2 F. Real</t>
        </is>
      </c>
      <c r="O3" s="23" t="inlineStr">
        <is>
          <t>E3 Repositorio</t>
        </is>
      </c>
      <c r="P3" s="23" t="inlineStr">
        <is>
          <t>E3 F. Compromiso</t>
        </is>
      </c>
      <c r="Q3" s="23" t="inlineStr">
        <is>
          <t>E3 F. Real</t>
        </is>
      </c>
      <c r="R3" s="23" t="inlineStr">
        <is>
          <t>E4 Sandbox</t>
        </is>
      </c>
      <c r="S3" s="23" t="inlineStr">
        <is>
          <t>E4 F. Compromiso</t>
        </is>
      </c>
      <c r="T3" s="23" t="inlineStr">
        <is>
          <t>E4 F. Real</t>
        </is>
      </c>
      <c r="U3" s="23" t="inlineStr">
        <is>
          <t>E5 Productivo</t>
        </is>
      </c>
      <c r="V3" s="23" t="inlineStr">
        <is>
          <t>E5 F. Compromiso</t>
        </is>
      </c>
      <c r="W3" s="23" t="inlineStr">
        <is>
          <t>E5 F. Real</t>
        </is>
      </c>
      <c r="X3" s="23" t="inlineStr">
        <is>
          <t>Etapa #</t>
        </is>
      </c>
      <c r="Y3" s="23" t="inlineStr">
        <is>
          <t>Etapa Actual</t>
        </is>
      </c>
      <c r="Z3" s="23" t="inlineStr">
        <is>
          <t>% Avance</t>
        </is>
      </c>
      <c r="AA3" s="23" t="inlineStr">
        <is>
          <t>Próx. Compromiso</t>
        </is>
      </c>
      <c r="AB3" s="23" t="inlineStr">
        <is>
          <t>Días Restantes</t>
        </is>
      </c>
      <c r="AC3" s="23" t="inlineStr">
        <is>
          <t>Semáforo</t>
        </is>
      </c>
      <c r="AD3" s="23" t="inlineStr">
        <is>
          <t>Últ. Modificación</t>
        </is>
      </c>
      <c r="AE3" s="23" t="inlineStr">
        <is>
          <t>Observaciones / Bloqueos</t>
        </is>
      </c>
    </row>
    <row r="4" ht="25.5" customHeight="1">
      <c r="A4" s="24" t="inlineStr">
        <is>
          <t>FIN-01</t>
        </is>
      </c>
      <c r="B4" s="24" t="inlineStr">
        <is>
          <t>Finanzas (R2R)</t>
        </is>
      </c>
      <c r="C4" s="24" t="inlineStr">
        <is>
          <t>—</t>
        </is>
      </c>
      <c r="D4" s="25" t="inlineStr">
        <is>
          <t>ESTEVEZ - Clases</t>
        </is>
      </c>
      <c r="E4" s="26" t="inlineStr">
        <is>
          <t>Finanzas / Contabilidad</t>
        </is>
      </c>
      <c r="F4" s="33" t="inlineStr">
        <is>
          <t>Angelica Ramirez</t>
        </is>
      </c>
      <c r="G4" s="27" t="inlineStr">
        <is>
          <t>Brandon / Maria Fernanda</t>
        </is>
      </c>
      <c r="H4" s="24" t="inlineStr">
        <is>
          <t>Alta</t>
        </is>
      </c>
      <c r="I4" s="24" t="inlineStr">
        <is>
          <t>Completado</t>
        </is>
      </c>
      <c r="J4" s="28" t="n"/>
      <c r="K4" s="28" t="n"/>
      <c r="L4" s="24" t="inlineStr">
        <is>
          <t>Completado</t>
        </is>
      </c>
      <c r="M4" s="28" t="n"/>
      <c r="N4" s="28" t="n"/>
      <c r="O4" s="24" t="inlineStr">
        <is>
          <t>Completado</t>
        </is>
      </c>
      <c r="P4" s="28" t="n"/>
      <c r="Q4" s="28" t="n"/>
      <c r="R4" s="24" t="inlineStr">
        <is>
          <t>No iniciado</t>
        </is>
      </c>
      <c r="S4" s="28" t="n"/>
      <c r="T4" s="28" t="n"/>
      <c r="U4" s="24" t="inlineStr">
        <is>
          <t>No iniciado</t>
        </is>
      </c>
      <c r="V4" s="28" t="n"/>
      <c r="W4" s="28" t="n"/>
      <c r="X4" s="24">
        <f>IF(OR($U4="Completado",$U4="No aplica"),6,IF(OR($R4="Completado",$R4="No aplica"),5,IF(OR($O4="Completado",$O4="No aplica"),4,IF(OR($L4="Completado",$L4="No aplica"),3,IF(OR($I4="Completado",$I4="No aplica"),2,1)))))</f>
        <v/>
      </c>
      <c r="Y4" s="29">
        <f>INDEX(Cat_Etapas,$X4)</f>
        <v/>
      </c>
      <c r="Z4" s="30">
        <f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/>
      </c>
      <c r="AA4" s="31">
        <f>IF($X4=6,"",IF(IFERROR(INDEX($I4:$V4,3*$X4-1),0)=0,"",INDEX($I4:$V4,3*$X4-1)))</f>
        <v/>
      </c>
      <c r="AB4" s="24">
        <f>IF($AA4="","",$AA4-TODAY())</f>
        <v/>
      </c>
      <c r="AC4" s="24">
        <f>IF($X4=6,"Cerrado",IF(OR($I4="Bloqueado",$L4="Bloqueado",$O4="Bloqueado",$R4="Bloqueado",$U4="Bloqueado"),"Bloqueado",IF($AA4="","Sin fecha",IF($AB4&lt;0,"Vencido",IF($AB4&lt;=7,"En riesgo","En tiempo")))))</f>
        <v/>
      </c>
      <c r="AD4" s="24" t="inlineStr">
        <is>
          <t>2026-03-13</t>
        </is>
      </c>
      <c r="AE4" s="25" t="n"/>
    </row>
    <row r="5" ht="25.5" customHeight="1">
      <c r="A5" s="24" t="inlineStr">
        <is>
          <t>FIN-02</t>
        </is>
      </c>
      <c r="B5" s="24" t="inlineStr">
        <is>
          <t>Finanzas (R2R)</t>
        </is>
      </c>
      <c r="C5" s="24" t="inlineStr">
        <is>
          <t>—</t>
        </is>
      </c>
      <c r="D5" s="32" t="inlineStr">
        <is>
          <t xml:space="preserve">ESTEVEZ - COA MX Plan de Cuentas </t>
        </is>
      </c>
      <c r="E5" s="26" t="inlineStr">
        <is>
          <t>Finanzas / Contabilidad</t>
        </is>
      </c>
      <c r="F5" s="27" t="inlineStr">
        <is>
          <t>Angelica Ramirez</t>
        </is>
      </c>
      <c r="G5" s="27" t="inlineStr">
        <is>
          <t>Brandon / Maria Fernanda</t>
        </is>
      </c>
      <c r="H5" s="24" t="inlineStr">
        <is>
          <t>Alta</t>
        </is>
      </c>
      <c r="I5" s="24" t="inlineStr">
        <is>
          <t>Completado</t>
        </is>
      </c>
      <c r="J5" s="28" t="n">
        <v>46268</v>
      </c>
      <c r="K5" s="28" t="n">
        <v>46268</v>
      </c>
      <c r="L5" s="24" t="inlineStr">
        <is>
          <t>Completado</t>
        </is>
      </c>
      <c r="M5" s="28" t="n">
        <v>46269</v>
      </c>
      <c r="N5" s="28" t="n">
        <v>46269</v>
      </c>
      <c r="O5" s="24" t="inlineStr">
        <is>
          <t>Completado</t>
        </is>
      </c>
      <c r="P5" s="28" t="n">
        <v>46269</v>
      </c>
      <c r="Q5" s="28" t="n">
        <v>46269</v>
      </c>
      <c r="R5" s="24" t="inlineStr">
        <is>
          <t>No iniciado</t>
        </is>
      </c>
      <c r="S5" s="28" t="n"/>
      <c r="T5" s="28" t="n"/>
      <c r="U5" s="24" t="inlineStr">
        <is>
          <t>No iniciado</t>
        </is>
      </c>
      <c r="V5" s="28" t="n"/>
      <c r="W5" s="28" t="n"/>
      <c r="X5" s="24">
        <f>IF(OR($U5="Completado",$U5="No aplica"),6,IF(OR($R5="Completado",$R5="No aplica"),5,IF(OR($O5="Completado",$O5="No aplica"),4,IF(OR($L5="Completado",$L5="No aplica"),3,IF(OR($I5="Completado",$I5="No aplica"),2,1)))))</f>
        <v/>
      </c>
      <c r="Y5" s="29">
        <f>INDEX(Cat_Etapas,$X5)</f>
        <v/>
      </c>
      <c r="Z5" s="30">
        <f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/>
      </c>
      <c r="AA5" s="31">
        <f>IF($X5=6,"",IF(IFERROR(INDEX($I5:$V5,3*$X5-1),0)=0,"",INDEX($I5:$V5,3*$X5-1)))</f>
        <v/>
      </c>
      <c r="AB5" s="24">
        <f>IF($AA5="","",$AA5-TODAY())</f>
        <v/>
      </c>
      <c r="AC5" s="24">
        <f>IF($X5=6,"Cerrado",IF(OR($I5="Bloqueado",$L5="Bloqueado",$O5="Bloqueado",$R5="Bloqueado",$U5="Bloqueado"),"Bloqueado",IF($AA5="","Sin fecha",IF($AB5&lt;0,"Vencido",IF($AB5&lt;=7,"En riesgo","En tiempo")))))</f>
        <v/>
      </c>
      <c r="AD5" s="24" t="inlineStr">
        <is>
          <t>2026-07-30</t>
        </is>
      </c>
      <c r="AE5" s="25" t="n"/>
    </row>
    <row r="6" ht="25.5" customHeight="1">
      <c r="A6" s="24" t="inlineStr">
        <is>
          <t>FIN-03</t>
        </is>
      </c>
      <c r="B6" s="24" t="inlineStr">
        <is>
          <t>Finanzas (R2R)</t>
        </is>
      </c>
      <c r="C6" s="24" t="inlineStr">
        <is>
          <t>—</t>
        </is>
      </c>
      <c r="D6" s="25" t="inlineStr">
        <is>
          <t>ESTEVEZ - Departamentos</t>
        </is>
      </c>
      <c r="E6" s="26" t="inlineStr">
        <is>
          <t>Finanzas / Contabilidad</t>
        </is>
      </c>
      <c r="F6" s="27" t="inlineStr">
        <is>
          <t>Angelica Ramirez</t>
        </is>
      </c>
      <c r="G6" s="27" t="inlineStr">
        <is>
          <t>Brandon / Maria Fernanda</t>
        </is>
      </c>
      <c r="H6" s="24" t="inlineStr">
        <is>
          <t>Alta</t>
        </is>
      </c>
      <c r="I6" s="24" t="inlineStr">
        <is>
          <t>Completado</t>
        </is>
      </c>
      <c r="J6" s="28" t="n"/>
      <c r="K6" s="28" t="n"/>
      <c r="L6" s="24" t="inlineStr">
        <is>
          <t>Completado</t>
        </is>
      </c>
      <c r="M6" s="28" t="n"/>
      <c r="N6" s="28" t="n"/>
      <c r="O6" s="24" t="inlineStr">
        <is>
          <t>Completado</t>
        </is>
      </c>
      <c r="P6" s="28" t="n"/>
      <c r="Q6" s="28" t="n"/>
      <c r="R6" s="24" t="inlineStr">
        <is>
          <t>No iniciado</t>
        </is>
      </c>
      <c r="S6" s="28" t="n"/>
      <c r="T6" s="28" t="n"/>
      <c r="U6" s="24" t="inlineStr">
        <is>
          <t>No iniciado</t>
        </is>
      </c>
      <c r="V6" s="28" t="n"/>
      <c r="W6" s="28" t="n"/>
      <c r="X6" s="24">
        <f>IF(OR($U6="Completado",$U6="No aplica"),6,IF(OR($R6="Completado",$R6="No aplica"),5,IF(OR($O6="Completado",$O6="No aplica"),4,IF(OR($L6="Completado",$L6="No aplica"),3,IF(OR($I6="Completado",$I6="No aplica"),2,1)))))</f>
        <v/>
      </c>
      <c r="Y6" s="29">
        <f>INDEX(Cat_Etapas,$X6)</f>
        <v/>
      </c>
      <c r="Z6" s="30">
        <f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/>
      </c>
      <c r="AA6" s="31">
        <f>IF($X6=6,"",IF(IFERROR(INDEX($I6:$V6,3*$X6-1),0)=0,"",INDEX($I6:$V6,3*$X6-1)))</f>
        <v/>
      </c>
      <c r="AB6" s="24">
        <f>IF($AA6="","",$AA6-TODAY())</f>
        <v/>
      </c>
      <c r="AC6" s="24">
        <f>IF($X6=6,"Cerrado",IF(OR($I6="Bloqueado",$L6="Bloqueado",$O6="Bloqueado",$R6="Bloqueado",$U6="Bloqueado"),"Bloqueado",IF($AA6="","Sin fecha",IF($AB6&lt;0,"Vencido",IF($AB6&lt;=7,"En riesgo","En tiempo")))))</f>
        <v/>
      </c>
      <c r="AD6" s="24" t="inlineStr">
        <is>
          <t>2026-03-13</t>
        </is>
      </c>
      <c r="AE6" s="25" t="n"/>
    </row>
    <row r="7" ht="25.5" customHeight="1">
      <c r="A7" s="24" t="inlineStr">
        <is>
          <t>FIN-04</t>
        </is>
      </c>
      <c r="B7" s="24" t="inlineStr">
        <is>
          <t>Finanzas (R2R)</t>
        </is>
      </c>
      <c r="C7" s="24" t="inlineStr">
        <is>
          <t>—</t>
        </is>
      </c>
      <c r="D7" s="25" t="inlineStr">
        <is>
          <t>ESTEVEZ - Plantilla Subsidiarias</t>
        </is>
      </c>
      <c r="E7" s="26" t="inlineStr">
        <is>
          <t>Finanzas / Contabilidad</t>
        </is>
      </c>
      <c r="F7" s="27" t="inlineStr">
        <is>
          <t>Angelica Ramirez</t>
        </is>
      </c>
      <c r="G7" s="27" t="inlineStr">
        <is>
          <t>Brandon / Maria Fernanda</t>
        </is>
      </c>
      <c r="H7" s="24" t="inlineStr">
        <is>
          <t>Alta</t>
        </is>
      </c>
      <c r="I7" s="24" t="inlineStr">
        <is>
          <t>Completado</t>
        </is>
      </c>
      <c r="J7" s="28" t="n"/>
      <c r="K7" s="28" t="n"/>
      <c r="L7" s="24" t="inlineStr">
        <is>
          <t>Completado</t>
        </is>
      </c>
      <c r="M7" s="28" t="n"/>
      <c r="N7" s="28" t="n"/>
      <c r="O7" s="24" t="inlineStr">
        <is>
          <t>Completado</t>
        </is>
      </c>
      <c r="P7" s="28" t="n"/>
      <c r="Q7" s="28" t="n"/>
      <c r="R7" s="24" t="inlineStr">
        <is>
          <t>No iniciado</t>
        </is>
      </c>
      <c r="S7" s="28" t="n"/>
      <c r="T7" s="28" t="n"/>
      <c r="U7" s="24" t="inlineStr">
        <is>
          <t>No iniciado</t>
        </is>
      </c>
      <c r="V7" s="28" t="n"/>
      <c r="W7" s="28" t="n"/>
      <c r="X7" s="24">
        <f>IF(OR($U7="Completado",$U7="No aplica"),6,IF(OR($R7="Completado",$R7="No aplica"),5,IF(OR($O7="Completado",$O7="No aplica"),4,IF(OR($L7="Completado",$L7="No aplica"),3,IF(OR($I7="Completado",$I7="No aplica"),2,1)))))</f>
        <v/>
      </c>
      <c r="Y7" s="29">
        <f>INDEX(Cat_Etapas,$X7)</f>
        <v/>
      </c>
      <c r="Z7" s="30">
        <f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/>
      </c>
      <c r="AA7" s="31">
        <f>IF($X7=6,"",IF(IFERROR(INDEX($I7:$V7,3*$X7-1),0)=0,"",INDEX($I7:$V7,3*$X7-1)))</f>
        <v/>
      </c>
      <c r="AB7" s="24">
        <f>IF($AA7="","",$AA7-TODAY())</f>
        <v/>
      </c>
      <c r="AC7" s="24">
        <f>IF($X7=6,"Cerrado",IF(OR($I7="Bloqueado",$L7="Bloqueado",$O7="Bloqueado",$R7="Bloqueado",$U7="Bloqueado"),"Bloqueado",IF($AA7="","Sin fecha",IF($AB7&lt;0,"Vencido",IF($AB7&lt;=7,"En riesgo","En tiempo")))))</f>
        <v/>
      </c>
      <c r="AD7" s="24" t="inlineStr">
        <is>
          <t>2026-03-13</t>
        </is>
      </c>
      <c r="AE7" s="25" t="n"/>
    </row>
    <row r="8" ht="25.5" customHeight="1">
      <c r="A8" s="24" t="inlineStr">
        <is>
          <t>FIN-05</t>
        </is>
      </c>
      <c r="B8" s="24" t="inlineStr">
        <is>
          <t>Finanzas (R2R)</t>
        </is>
      </c>
      <c r="C8" s="24" t="inlineStr">
        <is>
          <t>—</t>
        </is>
      </c>
      <c r="D8" s="25" t="inlineStr">
        <is>
          <t>ESTEVEZ - Ubicaciones</t>
        </is>
      </c>
      <c r="E8" s="26" t="inlineStr">
        <is>
          <t>Finanzas / Contabilidad</t>
        </is>
      </c>
      <c r="F8" s="27" t="inlineStr">
        <is>
          <t>Angelica Ramirez</t>
        </is>
      </c>
      <c r="G8" s="27" t="inlineStr">
        <is>
          <t>Brandon / Maria Fernanda</t>
        </is>
      </c>
      <c r="H8" s="24" t="inlineStr">
        <is>
          <t>Alta</t>
        </is>
      </c>
      <c r="I8" s="24" t="inlineStr">
        <is>
          <t>Completado</t>
        </is>
      </c>
      <c r="J8" s="28" t="n">
        <v>46272</v>
      </c>
      <c r="K8" s="28" t="n"/>
      <c r="L8" s="24" t="inlineStr">
        <is>
          <t>En proceso</t>
        </is>
      </c>
      <c r="M8" s="28" t="n">
        <v>46273</v>
      </c>
      <c r="N8" s="28" t="n"/>
      <c r="O8" s="24" t="inlineStr">
        <is>
          <t>No iniciado</t>
        </is>
      </c>
      <c r="P8" s="28" t="n">
        <v>46273</v>
      </c>
      <c r="Q8" s="28" t="n"/>
      <c r="R8" s="24" t="inlineStr">
        <is>
          <t>No iniciado</t>
        </is>
      </c>
      <c r="S8" s="28" t="n"/>
      <c r="T8" s="28" t="n"/>
      <c r="U8" s="24" t="inlineStr">
        <is>
          <t>No iniciado</t>
        </is>
      </c>
      <c r="V8" s="28" t="n"/>
      <c r="W8" s="28" t="n"/>
      <c r="X8" s="24">
        <f>IF(OR($U8="Completado",$U8="No aplica"),6,IF(OR($R8="Completado",$R8="No aplica"),5,IF(OR($O8="Completado",$O8="No aplica"),4,IF(OR($L8="Completado",$L8="No aplica"),3,IF(OR($I8="Completado",$I8="No aplica"),2,1)))))</f>
        <v/>
      </c>
      <c r="Y8" s="29">
        <f>INDEX(Cat_Etapas,$X8)</f>
        <v/>
      </c>
      <c r="Z8" s="30">
        <f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/>
      </c>
      <c r="AA8" s="31">
        <f>IF($X8=6,"",IF(IFERROR(INDEX($I8:$V8,3*$X8-1),0)=0,"",INDEX($I8:$V8,3*$X8-1)))</f>
        <v/>
      </c>
      <c r="AB8" s="24">
        <f>IF($AA8="","",$AA8-TODAY())</f>
        <v/>
      </c>
      <c r="AC8" s="24">
        <f>IF($X8=6,"Cerrado",IF(OR($I8="Bloqueado",$L8="Bloqueado",$O8="Bloqueado",$R8="Bloqueado",$U8="Bloqueado"),"Bloqueado",IF($AA8="","Sin fecha",IF($AB8&lt;0,"Vencido",IF($AB8&lt;=7,"En riesgo","En tiempo")))))</f>
        <v/>
      </c>
      <c r="AD8" s="24" t="inlineStr">
        <is>
          <t>2026-03-13</t>
        </is>
      </c>
      <c r="AE8" s="25" t="n"/>
    </row>
    <row r="9" ht="25.5" customHeight="1">
      <c r="A9" s="24" t="inlineStr">
        <is>
          <t>CMP-01</t>
        </is>
      </c>
      <c r="B9" s="24" t="inlineStr">
        <is>
          <t>Compras (P2P)</t>
        </is>
      </c>
      <c r="C9" s="24" t="inlineStr">
        <is>
          <t>210</t>
        </is>
      </c>
      <c r="D9" s="25" t="inlineStr">
        <is>
          <t>Proveedores</t>
        </is>
      </c>
      <c r="E9" s="26" t="inlineStr">
        <is>
          <t>Compras / Abastecimiento</t>
        </is>
      </c>
      <c r="F9" s="34" t="inlineStr">
        <is>
          <t>Nancy Ruiz Ruiz
Ana Laura Cedillo</t>
        </is>
      </c>
      <c r="G9" s="27" t="inlineStr">
        <is>
          <t>Jose Mauricio Caranza</t>
        </is>
      </c>
      <c r="H9" s="24" t="inlineStr">
        <is>
          <t>Alta</t>
        </is>
      </c>
      <c r="I9" s="24" t="inlineStr">
        <is>
          <t>Completado</t>
        </is>
      </c>
      <c r="J9" s="28" t="n">
        <v>46272</v>
      </c>
      <c r="K9" s="28" t="n"/>
      <c r="L9" s="24" t="inlineStr">
        <is>
          <t>En proceso</t>
        </is>
      </c>
      <c r="M9" s="28" t="n">
        <v>46273</v>
      </c>
      <c r="N9" s="28" t="n"/>
      <c r="O9" s="24" t="inlineStr">
        <is>
          <t>No iniciado</t>
        </is>
      </c>
      <c r="P9" s="28" t="n">
        <v>46273</v>
      </c>
      <c r="Q9" s="28" t="n"/>
      <c r="R9" s="24" t="inlineStr">
        <is>
          <t>No iniciado</t>
        </is>
      </c>
      <c r="S9" s="28" t="n"/>
      <c r="T9" s="28" t="n"/>
      <c r="U9" s="24" t="inlineStr">
        <is>
          <t>No iniciado</t>
        </is>
      </c>
      <c r="V9" s="28" t="n"/>
      <c r="W9" s="28" t="n"/>
      <c r="X9" s="24">
        <f>IF(OR($U9="Completado",$U9="No aplica"),6,IF(OR($R9="Completado",$R9="No aplica"),5,IF(OR($O9="Completado",$O9="No aplica"),4,IF(OR($L9="Completado",$L9="No aplica"),3,IF(OR($I9="Completado",$I9="No aplica"),2,1)))))</f>
        <v/>
      </c>
      <c r="Y9" s="29">
        <f>INDEX(Cat_Etapas,$X9)</f>
        <v/>
      </c>
      <c r="Z9" s="30">
        <f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/>
      </c>
      <c r="AA9" s="31">
        <f>IF($X9=6,"",IF(IFERROR(INDEX($I9:$V9,3*$X9-1),0)=0,"",INDEX($I9:$V9,3*$X9-1)))</f>
        <v/>
      </c>
      <c r="AB9" s="24">
        <f>IF($AA9="","",$AA9-TODAY())</f>
        <v/>
      </c>
      <c r="AC9" s="24">
        <f>IF($X9=6,"Cerrado",IF(OR($I9="Bloqueado",$L9="Bloqueado",$O9="Bloqueado",$R9="Bloqueado",$U9="Bloqueado"),"Bloqueado",IF($AA9="","Sin fecha",IF($AB9&lt;0,"Vencido",IF($AB9&lt;=7,"En riesgo","En tiempo")))))</f>
        <v/>
      </c>
      <c r="AD9" s="24" t="n"/>
      <c r="AE9" s="25" t="n"/>
    </row>
    <row r="10" ht="25.5" customHeight="1">
      <c r="A10" s="24" t="inlineStr">
        <is>
          <t>CMP-02</t>
        </is>
      </c>
      <c r="B10" s="24" t="inlineStr">
        <is>
          <t>Compras (P2P)</t>
        </is>
      </c>
      <c r="C10" s="24" t="inlineStr">
        <is>
          <t>220</t>
        </is>
      </c>
      <c r="D10" s="25" t="inlineStr">
        <is>
          <t>Empleados</t>
        </is>
      </c>
      <c r="E10" s="26" t="inlineStr">
        <is>
          <t>Capital Humano</t>
        </is>
      </c>
      <c r="F10" s="27" t="inlineStr">
        <is>
          <t xml:space="preserve">Caterrine Ladino </t>
        </is>
      </c>
      <c r="G10" s="27" t="inlineStr">
        <is>
          <t>Jose Mauricio Caranza</t>
        </is>
      </c>
      <c r="H10" s="24" t="inlineStr">
        <is>
          <t>Alta</t>
        </is>
      </c>
      <c r="I10" s="24" t="inlineStr">
        <is>
          <t>Completado</t>
        </is>
      </c>
      <c r="J10" s="28" t="n">
        <v>46268</v>
      </c>
      <c r="K10" s="28" t="n">
        <v>46268</v>
      </c>
      <c r="L10" s="24" t="inlineStr">
        <is>
          <t>Completado</t>
        </is>
      </c>
      <c r="M10" s="28" t="n">
        <v>46269</v>
      </c>
      <c r="N10" s="28" t="n">
        <v>46269</v>
      </c>
      <c r="O10" s="24" t="inlineStr">
        <is>
          <t>Completado</t>
        </is>
      </c>
      <c r="P10" s="28" t="n">
        <v>46269</v>
      </c>
      <c r="Q10" s="28" t="n">
        <v>46269</v>
      </c>
      <c r="R10" s="24" t="inlineStr">
        <is>
          <t>No iniciado</t>
        </is>
      </c>
      <c r="S10" s="28" t="n"/>
      <c r="T10" s="28" t="n"/>
      <c r="U10" s="24" t="inlineStr">
        <is>
          <t>No iniciado</t>
        </is>
      </c>
      <c r="V10" s="28" t="n"/>
      <c r="W10" s="28" t="n"/>
      <c r="X10" s="24">
        <f>IF(OR($U10="Completado",$U10="No aplica"),6,IF(OR($R10="Completado",$R10="No aplica"),5,IF(OR($O10="Completado",$O10="No aplica"),4,IF(OR($L10="Completado",$L10="No aplica"),3,IF(OR($I10="Completado",$I10="No aplica"),2,1)))))</f>
        <v/>
      </c>
      <c r="Y10" s="29">
        <f>INDEX(Cat_Etapas,$X10)</f>
        <v/>
      </c>
      <c r="Z10" s="30">
        <f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/>
      </c>
      <c r="AA10" s="31">
        <f>IF($X10=6,"",IF(IFERROR(INDEX($I10:$V10,3*$X10-1),0)=0,"",INDEX($I10:$V10,3*$X10-1)))</f>
        <v/>
      </c>
      <c r="AB10" s="24">
        <f>IF($AA10="","",$AA10-TODAY())</f>
        <v/>
      </c>
      <c r="AC10" s="24">
        <f>IF($X10=6,"Cerrado",IF(OR($I10="Bloqueado",$L10="Bloqueado",$O10="Bloqueado",$R10="Bloqueado",$U10="Bloqueado"),"Bloqueado",IF($AA10="","Sin fecha",IF($AB10&lt;0,"Vencido",IF($AB10&lt;=7,"En riesgo","En tiempo")))))</f>
        <v/>
      </c>
      <c r="AD10" s="24" t="n"/>
      <c r="AE10" s="25" t="n"/>
    </row>
    <row r="11" ht="25.5" customHeight="1">
      <c r="A11" s="24" t="inlineStr">
        <is>
          <t>VTA-01</t>
        </is>
      </c>
      <c r="B11" s="24" t="inlineStr">
        <is>
          <t>Ventas (O2C)</t>
        </is>
      </c>
      <c r="C11" s="24" t="inlineStr">
        <is>
          <t>300</t>
        </is>
      </c>
      <c r="D11" s="32" t="inlineStr">
        <is>
          <t>MX Clientes</t>
        </is>
      </c>
      <c r="E11" s="26" t="inlineStr">
        <is>
          <t>Comercial / Ventas</t>
        </is>
      </c>
      <c r="F11" s="34" t="inlineStr">
        <is>
          <t>Itzel Barcena
Erick Carmona</t>
        </is>
      </c>
      <c r="G11" s="27" t="inlineStr">
        <is>
          <t>Jose Mauricio Caranza</t>
        </is>
      </c>
      <c r="H11" s="24" t="inlineStr">
        <is>
          <t>Alta</t>
        </is>
      </c>
      <c r="I11" s="24" t="inlineStr">
        <is>
          <t>Completado</t>
        </is>
      </c>
      <c r="J11" s="28" t="n">
        <v>46274</v>
      </c>
      <c r="K11" s="28" t="n"/>
      <c r="L11" s="24" t="inlineStr">
        <is>
          <t>En proceso</t>
        </is>
      </c>
      <c r="M11" s="28" t="n">
        <v>46275</v>
      </c>
      <c r="N11" s="28" t="n"/>
      <c r="O11" s="24" t="inlineStr">
        <is>
          <t>No iniciado</t>
        </is>
      </c>
      <c r="P11" s="28" t="n">
        <v>46276</v>
      </c>
      <c r="Q11" s="28" t="n"/>
      <c r="R11" s="24" t="inlineStr">
        <is>
          <t>No iniciado</t>
        </is>
      </c>
      <c r="S11" s="28" t="n"/>
      <c r="T11" s="28" t="n"/>
      <c r="U11" s="24" t="inlineStr">
        <is>
          <t>No iniciado</t>
        </is>
      </c>
      <c r="V11" s="28" t="n"/>
      <c r="W11" s="28" t="n"/>
      <c r="X11" s="24">
        <f>IF(OR($U11="Completado",$U11="No aplica"),6,IF(OR($R11="Completado",$R11="No aplica"),5,IF(OR($O11="Completado",$O11="No aplica"),4,IF(OR($L11="Completado",$L11="No aplica"),3,IF(OR($I11="Completado",$I11="No aplica"),2,1)))))</f>
        <v/>
      </c>
      <c r="Y11" s="29">
        <f>INDEX(Cat_Etapas,$X11)</f>
        <v/>
      </c>
      <c r="Z11" s="30">
        <f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/>
      </c>
      <c r="AA11" s="31">
        <f>IF($X11=6,"",IF(IFERROR(INDEX($I11:$V11,3*$X11-1),0)=0,"",INDEX($I11:$V11,3*$X11-1)))</f>
        <v/>
      </c>
      <c r="AB11" s="24">
        <f>IF($AA11="","",$AA11-TODAY())</f>
        <v/>
      </c>
      <c r="AC11" s="24">
        <f>IF($X11=6,"Cerrado",IF(OR($I11="Bloqueado",$L11="Bloqueado",$O11="Bloqueado",$R11="Bloqueado",$U11="Bloqueado"),"Bloqueado",IF($AA11="","Sin fecha",IF($AB11&lt;0,"Vencido",IF($AB11&lt;=7,"En riesgo","En tiempo")))))</f>
        <v/>
      </c>
      <c r="AD11" s="24" t="inlineStr">
        <is>
          <t>2026-05-26</t>
        </is>
      </c>
      <c r="AE11" s="25" t="n"/>
    </row>
    <row r="12" ht="25.5" customHeight="1">
      <c r="A12" s="24" t="inlineStr">
        <is>
          <t>VTA-02</t>
        </is>
      </c>
      <c r="B12" s="24" t="inlineStr">
        <is>
          <t>Ventas (O2C)</t>
        </is>
      </c>
      <c r="C12" s="24" t="inlineStr">
        <is>
          <t>310</t>
        </is>
      </c>
      <c r="D12" s="32" t="inlineStr">
        <is>
          <t xml:space="preserve">MX Contactos </t>
        </is>
      </c>
      <c r="E12" s="26" t="inlineStr">
        <is>
          <t>Comercial / Ventas</t>
        </is>
      </c>
      <c r="F12" s="34" t="inlineStr">
        <is>
          <t>Itzel Barcena
Erick Carmona</t>
        </is>
      </c>
      <c r="G12" s="27" t="inlineStr">
        <is>
          <t>Jose Mauricio Caranza</t>
        </is>
      </c>
      <c r="H12" s="24" t="inlineStr">
        <is>
          <t>Alta</t>
        </is>
      </c>
      <c r="I12" s="24" t="inlineStr">
        <is>
          <t>En proceso</t>
        </is>
      </c>
      <c r="J12" s="28" t="n">
        <v>46274</v>
      </c>
      <c r="K12" s="28" t="n"/>
      <c r="L12" s="24" t="inlineStr">
        <is>
          <t>No iniciado</t>
        </is>
      </c>
      <c r="M12" s="28" t="n">
        <v>46275</v>
      </c>
      <c r="N12" s="28" t="n"/>
      <c r="O12" s="24" t="inlineStr">
        <is>
          <t>No iniciado</t>
        </is>
      </c>
      <c r="P12" s="28" t="n">
        <v>46276</v>
      </c>
      <c r="Q12" s="28" t="n"/>
      <c r="R12" s="24" t="inlineStr">
        <is>
          <t>No iniciado</t>
        </is>
      </c>
      <c r="S12" s="28" t="n"/>
      <c r="T12" s="28" t="n"/>
      <c r="U12" s="24" t="inlineStr">
        <is>
          <t>No iniciado</t>
        </is>
      </c>
      <c r="V12" s="28" t="n"/>
      <c r="W12" s="28" t="n"/>
      <c r="X12" s="24">
        <f>IF(OR($U12="Completado",$U12="No aplica"),6,IF(OR($R12="Completado",$R12="No aplica"),5,IF(OR($O12="Completado",$O12="No aplica"),4,IF(OR($L12="Completado",$L12="No aplica"),3,IF(OR($I12="Completado",$I12="No aplica"),2,1)))))</f>
        <v/>
      </c>
      <c r="Y12" s="29">
        <f>INDEX(Cat_Etapas,$X12)</f>
        <v/>
      </c>
      <c r="Z12" s="30">
        <f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/>
      </c>
      <c r="AA12" s="31">
        <f>IF($X12=6,"",IF(IFERROR(INDEX($I12:$V12,3*$X12-1),0)=0,"",INDEX($I12:$V12,3*$X12-1)))</f>
        <v/>
      </c>
      <c r="AB12" s="24">
        <f>IF($AA12="","",$AA12-TODAY())</f>
        <v/>
      </c>
      <c r="AC12" s="24">
        <f>IF($X12=6,"Cerrado",IF(OR($I12="Bloqueado",$L12="Bloqueado",$O12="Bloqueado",$R12="Bloqueado",$U12="Bloqueado"),"Bloqueado",IF($AA12="","Sin fecha",IF($AB12&lt;0,"Vencido",IF($AB12&lt;=7,"En riesgo","En tiempo")))))</f>
        <v/>
      </c>
      <c r="AD12" s="24" t="inlineStr">
        <is>
          <t>2026-05-26</t>
        </is>
      </c>
      <c r="AE12" s="25" t="n"/>
    </row>
    <row r="13" ht="25.5" customHeight="1">
      <c r="A13" s="24" t="inlineStr">
        <is>
          <t>VTA-03</t>
        </is>
      </c>
      <c r="B13" s="24" t="inlineStr">
        <is>
          <t>Ventas (O2C)</t>
        </is>
      </c>
      <c r="C13" s="24" t="inlineStr">
        <is>
          <t>320</t>
        </is>
      </c>
      <c r="D13" s="32" t="inlineStr">
        <is>
          <t>MX Direcciones</t>
        </is>
      </c>
      <c r="E13" s="26" t="inlineStr">
        <is>
          <t>Comercial / Ventas</t>
        </is>
      </c>
      <c r="F13" s="34" t="inlineStr">
        <is>
          <t>Itzel Barcena
Erick Carmona</t>
        </is>
      </c>
      <c r="G13" s="27" t="inlineStr">
        <is>
          <t>Jose Mauricio Caranza</t>
        </is>
      </c>
      <c r="H13" s="24" t="inlineStr">
        <is>
          <t>Alta</t>
        </is>
      </c>
      <c r="I13" s="24" t="inlineStr">
        <is>
          <t>En proceso</t>
        </is>
      </c>
      <c r="J13" s="28" t="n">
        <v>46274</v>
      </c>
      <c r="K13" s="28" t="n"/>
      <c r="L13" s="24" t="inlineStr">
        <is>
          <t>No iniciado</t>
        </is>
      </c>
      <c r="M13" s="28" t="n">
        <v>46275</v>
      </c>
      <c r="N13" s="28" t="n"/>
      <c r="O13" s="24" t="inlineStr">
        <is>
          <t>No iniciado</t>
        </is>
      </c>
      <c r="P13" s="28" t="n">
        <v>46276</v>
      </c>
      <c r="Q13" s="28" t="n"/>
      <c r="R13" s="24" t="inlineStr">
        <is>
          <t>No iniciado</t>
        </is>
      </c>
      <c r="S13" s="28" t="n"/>
      <c r="T13" s="28" t="n"/>
      <c r="U13" s="24" t="inlineStr">
        <is>
          <t>No iniciado</t>
        </is>
      </c>
      <c r="V13" s="28" t="n"/>
      <c r="W13" s="28" t="n"/>
      <c r="X13" s="24">
        <f>IF(OR($U13="Completado",$U13="No aplica"),6,IF(OR($R13="Completado",$R13="No aplica"),5,IF(OR($O13="Completado",$O13="No aplica"),4,IF(OR($L13="Completado",$L13="No aplica"),3,IF(OR($I13="Completado",$I13="No aplica"),2,1)))))</f>
        <v/>
      </c>
      <c r="Y13" s="29">
        <f>INDEX(Cat_Etapas,$X13)</f>
        <v/>
      </c>
      <c r="Z13" s="30">
        <f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/>
      </c>
      <c r="AA13" s="31">
        <f>IF($X13=6,"",IF(IFERROR(INDEX($I13:$V13,3*$X13-1),0)=0,"",INDEX($I13:$V13,3*$X13-1)))</f>
        <v/>
      </c>
      <c r="AB13" s="24">
        <f>IF($AA13="","",$AA13-TODAY())</f>
        <v/>
      </c>
      <c r="AC13" s="24">
        <f>IF($X13=6,"Cerrado",IF(OR($I13="Bloqueado",$L13="Bloqueado",$O13="Bloqueado",$R13="Bloqueado",$U13="Bloqueado"),"Bloqueado",IF($AA13="","Sin fecha",IF($AB13&lt;0,"Vencido",IF($AB13&lt;=7,"En riesgo","En tiempo")))))</f>
        <v/>
      </c>
      <c r="AD13" s="24" t="inlineStr">
        <is>
          <t>2026-05-26</t>
        </is>
      </c>
      <c r="AE13" s="25" t="n"/>
    </row>
    <row r="14" ht="25.5" customHeight="1">
      <c r="A14" s="24" t="inlineStr">
        <is>
          <t>INV-01</t>
        </is>
      </c>
      <c r="B14" s="24" t="inlineStr">
        <is>
          <t>Inventarios (D2B)</t>
        </is>
      </c>
      <c r="C14" s="24" t="inlineStr">
        <is>
          <t>401</t>
        </is>
      </c>
      <c r="D14" s="25" t="inlineStr">
        <is>
          <t>MX Unidades de Medida</t>
        </is>
      </c>
      <c r="E14" s="26" t="inlineStr">
        <is>
          <t>Almacén / Inventarios</t>
        </is>
      </c>
      <c r="F14" s="27" t="inlineStr">
        <is>
          <t>Jesus Ramirez</t>
        </is>
      </c>
      <c r="G14" s="27" t="inlineStr">
        <is>
          <t>Jose Mauricio Caranza</t>
        </is>
      </c>
      <c r="H14" s="24" t="inlineStr">
        <is>
          <t>Alta</t>
        </is>
      </c>
      <c r="I14" s="24" t="inlineStr">
        <is>
          <t>En proceso</t>
        </is>
      </c>
      <c r="J14" s="28" t="n">
        <v>46274</v>
      </c>
      <c r="K14" s="28" t="n"/>
      <c r="L14" s="24" t="inlineStr">
        <is>
          <t>No iniciado</t>
        </is>
      </c>
      <c r="M14" s="28" t="n">
        <v>46275</v>
      </c>
      <c r="N14" s="28" t="n"/>
      <c r="O14" s="24" t="inlineStr">
        <is>
          <t>No iniciado</t>
        </is>
      </c>
      <c r="P14" s="28" t="n">
        <v>46276</v>
      </c>
      <c r="Q14" s="28" t="n"/>
      <c r="R14" s="24" t="inlineStr">
        <is>
          <t>No iniciado</t>
        </is>
      </c>
      <c r="S14" s="28" t="n"/>
      <c r="T14" s="28" t="n"/>
      <c r="U14" s="24" t="inlineStr">
        <is>
          <t>No iniciado</t>
        </is>
      </c>
      <c r="V14" s="28" t="n"/>
      <c r="W14" s="28" t="n"/>
      <c r="X14" s="24">
        <f>IF(OR($U14="Completado",$U14="No aplica"),6,IF(OR($R14="Completado",$R14="No aplica"),5,IF(OR($O14="Completado",$O14="No aplica"),4,IF(OR($L14="Completado",$L14="No aplica"),3,IF(OR($I14="Completado",$I14="No aplica"),2,1)))))</f>
        <v/>
      </c>
      <c r="Y14" s="29">
        <f>INDEX(Cat_Etapas,$X14)</f>
        <v/>
      </c>
      <c r="Z14" s="30">
        <f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/>
      </c>
      <c r="AA14" s="31">
        <f>IF($X14=6,"",IF(IFERROR(INDEX($I14:$V14,3*$X14-1),0)=0,"",INDEX($I14:$V14,3*$X14-1)))</f>
        <v/>
      </c>
      <c r="AB14" s="24">
        <f>IF($AA14="","",$AA14-TODAY())</f>
        <v/>
      </c>
      <c r="AC14" s="24">
        <f>IF($X14=6,"Cerrado",IF(OR($I14="Bloqueado",$L14="Bloqueado",$O14="Bloqueado",$R14="Bloqueado",$U14="Bloqueado"),"Bloqueado",IF($AA14="","Sin fecha",IF($AB14&lt;0,"Vencido",IF($AB14&lt;=7,"En riesgo","En tiempo")))))</f>
        <v/>
      </c>
      <c r="AD14" s="24" t="inlineStr">
        <is>
          <t>2026-03-19</t>
        </is>
      </c>
      <c r="AE14" s="25" t="n"/>
    </row>
    <row r="15" ht="25.5" customHeight="1">
      <c r="A15" s="24" t="inlineStr">
        <is>
          <t>INV-02</t>
        </is>
      </c>
      <c r="B15" s="24" t="inlineStr">
        <is>
          <t>Inventarios (D2B)</t>
        </is>
      </c>
      <c r="C15" s="24" t="inlineStr">
        <is>
          <t>402</t>
        </is>
      </c>
      <c r="D15" s="25" t="inlineStr">
        <is>
          <t>MX SAT Clave Producto Servicio</t>
        </is>
      </c>
      <c r="E15" s="26" t="inlineStr">
        <is>
          <t>Almacén / Inventarios</t>
        </is>
      </c>
      <c r="F15" s="27" t="inlineStr">
        <is>
          <t>Jesus Ramirez</t>
        </is>
      </c>
      <c r="G15" s="27" t="inlineStr">
        <is>
          <t>Jose Mauricio Caranza</t>
        </is>
      </c>
      <c r="H15" s="24" t="inlineStr">
        <is>
          <t>Alta</t>
        </is>
      </c>
      <c r="I15" s="24" t="inlineStr">
        <is>
          <t>En proceso</t>
        </is>
      </c>
      <c r="J15" s="28" t="n">
        <v>46274</v>
      </c>
      <c r="K15" s="28" t="n"/>
      <c r="L15" s="24" t="inlineStr">
        <is>
          <t>No iniciado</t>
        </is>
      </c>
      <c r="M15" s="28" t="n">
        <v>46275</v>
      </c>
      <c r="N15" s="28" t="n"/>
      <c r="O15" s="24" t="inlineStr">
        <is>
          <t>No iniciado</t>
        </is>
      </c>
      <c r="P15" s="28" t="n">
        <v>46276</v>
      </c>
      <c r="Q15" s="28" t="n"/>
      <c r="R15" s="24" t="inlineStr">
        <is>
          <t>No iniciado</t>
        </is>
      </c>
      <c r="S15" s="28" t="n"/>
      <c r="T15" s="28" t="n"/>
      <c r="U15" s="24" t="inlineStr">
        <is>
          <t>No iniciado</t>
        </is>
      </c>
      <c r="V15" s="28" t="n"/>
      <c r="W15" s="28" t="n"/>
      <c r="X15" s="24">
        <f>IF(OR($U15="Completado",$U15="No aplica"),6,IF(OR($R15="Completado",$R15="No aplica"),5,IF(OR($O15="Completado",$O15="No aplica"),4,IF(OR($L15="Completado",$L15="No aplica"),3,IF(OR($I15="Completado",$I15="No aplica"),2,1)))))</f>
        <v/>
      </c>
      <c r="Y15" s="29">
        <f>INDEX(Cat_Etapas,$X15)</f>
        <v/>
      </c>
      <c r="Z15" s="30">
        <f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/>
      </c>
      <c r="AA15" s="31">
        <f>IF($X15=6,"",IF(IFERROR(INDEX($I15:$V15,3*$X15-1),0)=0,"",INDEX($I15:$V15,3*$X15-1)))</f>
        <v/>
      </c>
      <c r="AB15" s="24">
        <f>IF($AA15="","",$AA15-TODAY())</f>
        <v/>
      </c>
      <c r="AC15" s="24">
        <f>IF($X15=6,"Cerrado",IF(OR($I15="Bloqueado",$L15="Bloqueado",$O15="Bloqueado",$R15="Bloqueado",$U15="Bloqueado"),"Bloqueado",IF($AA15="","Sin fecha",IF($AB15&lt;0,"Vencido",IF($AB15&lt;=7,"En riesgo","En tiempo")))))</f>
        <v/>
      </c>
      <c r="AD15" s="24" t="inlineStr">
        <is>
          <t>2026-06-03</t>
        </is>
      </c>
      <c r="AE15" s="25" t="n"/>
    </row>
    <row r="16" ht="25.5" customHeight="1">
      <c r="A16" s="24" t="inlineStr">
        <is>
          <t>INV-03</t>
        </is>
      </c>
      <c r="B16" s="24" t="inlineStr">
        <is>
          <t>Inventarios (D2B)</t>
        </is>
      </c>
      <c r="C16" s="24" t="inlineStr">
        <is>
          <t>403</t>
        </is>
      </c>
      <c r="D16" s="25" t="inlineStr">
        <is>
          <t>MX SAT Clave de Unidad</t>
        </is>
      </c>
      <c r="E16" s="26" t="inlineStr">
        <is>
          <t>Almacén / Inventarios</t>
        </is>
      </c>
      <c r="F16" s="27" t="inlineStr">
        <is>
          <t>Jesus Ramirez</t>
        </is>
      </c>
      <c r="G16" s="27" t="inlineStr">
        <is>
          <t>Jose Mauricio Caranza</t>
        </is>
      </c>
      <c r="H16" s="24" t="inlineStr">
        <is>
          <t>Alta</t>
        </is>
      </c>
      <c r="I16" s="24" t="inlineStr">
        <is>
          <t>En proceso</t>
        </is>
      </c>
      <c r="J16" s="28" t="n">
        <v>46274</v>
      </c>
      <c r="K16" s="28" t="n"/>
      <c r="L16" s="24" t="inlineStr">
        <is>
          <t>No iniciado</t>
        </is>
      </c>
      <c r="M16" s="28" t="n">
        <v>46275</v>
      </c>
      <c r="N16" s="28" t="n"/>
      <c r="O16" s="24" t="inlineStr">
        <is>
          <t>No iniciado</t>
        </is>
      </c>
      <c r="P16" s="28" t="n">
        <v>46276</v>
      </c>
      <c r="Q16" s="28" t="n"/>
      <c r="R16" s="24" t="inlineStr">
        <is>
          <t>No iniciado</t>
        </is>
      </c>
      <c r="S16" s="28" t="n"/>
      <c r="T16" s="28" t="n"/>
      <c r="U16" s="24" t="inlineStr">
        <is>
          <t>No iniciado</t>
        </is>
      </c>
      <c r="V16" s="28" t="n"/>
      <c r="W16" s="28" t="n"/>
      <c r="X16" s="24">
        <f>IF(OR($U16="Completado",$U16="No aplica"),6,IF(OR($R16="Completado",$R16="No aplica"),5,IF(OR($O16="Completado",$O16="No aplica"),4,IF(OR($L16="Completado",$L16="No aplica"),3,IF(OR($I16="Completado",$I16="No aplica"),2,1)))))</f>
        <v/>
      </c>
      <c r="Y16" s="29">
        <f>INDEX(Cat_Etapas,$X16)</f>
        <v/>
      </c>
      <c r="Z16" s="30">
        <f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/>
      </c>
      <c r="AA16" s="31">
        <f>IF($X16=6,"",IF(IFERROR(INDEX($I16:$V16,3*$X16-1),0)=0,"",INDEX($I16:$V16,3*$X16-1)))</f>
        <v/>
      </c>
      <c r="AB16" s="24">
        <f>IF($AA16="","",$AA16-TODAY())</f>
        <v/>
      </c>
      <c r="AC16" s="24">
        <f>IF($X16=6,"Cerrado",IF(OR($I16="Bloqueado",$L16="Bloqueado",$O16="Bloqueado",$R16="Bloqueado",$U16="Bloqueado"),"Bloqueado",IF($AA16="","Sin fecha",IF($AB16&lt;0,"Vencido",IF($AB16&lt;=7,"En riesgo","En tiempo")))))</f>
        <v/>
      </c>
      <c r="AD16" s="24" t="inlineStr">
        <is>
          <t>2026-03-19</t>
        </is>
      </c>
      <c r="AE16" s="25" t="n"/>
    </row>
    <row r="17" ht="25.5" customHeight="1">
      <c r="A17" s="24" t="inlineStr">
        <is>
          <t>INV-04</t>
        </is>
      </c>
      <c r="B17" s="24" t="inlineStr">
        <is>
          <t>Inventarios (D2B)</t>
        </is>
      </c>
      <c r="C17" s="24" t="inlineStr">
        <is>
          <t>404</t>
        </is>
      </c>
      <c r="D17" s="25" t="inlineStr">
        <is>
          <t>MX SAT Clave Arancelaria</t>
        </is>
      </c>
      <c r="E17" s="26" t="inlineStr">
        <is>
          <t>Almacén / Inventarios</t>
        </is>
      </c>
      <c r="F17" s="27" t="inlineStr">
        <is>
          <t>Jesus Ramirez</t>
        </is>
      </c>
      <c r="G17" s="27" t="inlineStr">
        <is>
          <t>Jose Mauricio Caranza</t>
        </is>
      </c>
      <c r="H17" s="24" t="inlineStr">
        <is>
          <t>Alta</t>
        </is>
      </c>
      <c r="I17" s="24" t="inlineStr">
        <is>
          <t>En proceso</t>
        </is>
      </c>
      <c r="J17" s="28" t="n">
        <v>46274</v>
      </c>
      <c r="K17" s="28" t="n"/>
      <c r="L17" s="24" t="inlineStr">
        <is>
          <t>No iniciado</t>
        </is>
      </c>
      <c r="M17" s="28" t="n">
        <v>46275</v>
      </c>
      <c r="N17" s="28" t="n"/>
      <c r="O17" s="24" t="inlineStr">
        <is>
          <t>No iniciado</t>
        </is>
      </c>
      <c r="P17" s="28" t="n">
        <v>46276</v>
      </c>
      <c r="Q17" s="28" t="n"/>
      <c r="R17" s="24" t="inlineStr">
        <is>
          <t>No iniciado</t>
        </is>
      </c>
      <c r="S17" s="28" t="n"/>
      <c r="T17" s="28" t="n"/>
      <c r="U17" s="24" t="inlineStr">
        <is>
          <t>No iniciado</t>
        </is>
      </c>
      <c r="V17" s="28" t="n"/>
      <c r="W17" s="28" t="n"/>
      <c r="X17" s="24">
        <f>IF(OR($U17="Completado",$U17="No aplica"),6,IF(OR($R17="Completado",$R17="No aplica"),5,IF(OR($O17="Completado",$O17="No aplica"),4,IF(OR($L17="Completado",$L17="No aplica"),3,IF(OR($I17="Completado",$I17="No aplica"),2,1)))))</f>
        <v/>
      </c>
      <c r="Y17" s="29">
        <f>INDEX(Cat_Etapas,$X17)</f>
        <v/>
      </c>
      <c r="Z17" s="30">
        <f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/>
      </c>
      <c r="AA17" s="31">
        <f>IF($X17=6,"",IF(IFERROR(INDEX($I17:$V17,3*$X17-1),0)=0,"",INDEX($I17:$V17,3*$X17-1)))</f>
        <v/>
      </c>
      <c r="AB17" s="24">
        <f>IF($AA17="","",$AA17-TODAY())</f>
        <v/>
      </c>
      <c r="AC17" s="24">
        <f>IF($X17=6,"Cerrado",IF(OR($I17="Bloqueado",$L17="Bloqueado",$O17="Bloqueado",$R17="Bloqueado",$U17="Bloqueado"),"Bloqueado",IF($AA17="","Sin fecha",IF($AB17&lt;0,"Vencido",IF($AB17&lt;=7,"En riesgo","En tiempo")))))</f>
        <v/>
      </c>
      <c r="AD17" s="24" t="inlineStr">
        <is>
          <t>2026-03-19</t>
        </is>
      </c>
      <c r="AE17" s="25" t="n"/>
    </row>
    <row r="18" ht="25.5" customHeight="1">
      <c r="A18" s="24" t="inlineStr">
        <is>
          <t>INV-05</t>
        </is>
      </c>
      <c r="B18" s="24" t="inlineStr">
        <is>
          <t>Inventarios (D2B)</t>
        </is>
      </c>
      <c r="C18" s="24" t="inlineStr">
        <is>
          <t>410</t>
        </is>
      </c>
      <c r="D18" s="25" t="inlineStr">
        <is>
          <t>MX Artículo de Inventario</t>
        </is>
      </c>
      <c r="E18" s="26" t="inlineStr">
        <is>
          <t>Almacén / Inventarios</t>
        </is>
      </c>
      <c r="F18" s="27" t="inlineStr">
        <is>
          <t>Jesus Ramirez</t>
        </is>
      </c>
      <c r="G18" s="27" t="inlineStr">
        <is>
          <t>Jose Mauricio Caranza</t>
        </is>
      </c>
      <c r="H18" s="24" t="inlineStr">
        <is>
          <t>Alta</t>
        </is>
      </c>
      <c r="I18" s="24" t="inlineStr">
        <is>
          <t>En proceso</t>
        </is>
      </c>
      <c r="J18" s="28" t="n">
        <v>46274</v>
      </c>
      <c r="K18" s="28" t="n"/>
      <c r="L18" s="24" t="inlineStr">
        <is>
          <t>No iniciado</t>
        </is>
      </c>
      <c r="M18" s="28" t="n">
        <v>46275</v>
      </c>
      <c r="N18" s="28" t="n"/>
      <c r="O18" s="24" t="inlineStr">
        <is>
          <t>No iniciado</t>
        </is>
      </c>
      <c r="P18" s="28" t="n">
        <v>46276</v>
      </c>
      <c r="Q18" s="28" t="n"/>
      <c r="R18" s="24" t="inlineStr">
        <is>
          <t>No iniciado</t>
        </is>
      </c>
      <c r="S18" s="28" t="n"/>
      <c r="T18" s="28" t="n"/>
      <c r="U18" s="24" t="inlineStr">
        <is>
          <t>No iniciado</t>
        </is>
      </c>
      <c r="V18" s="28" t="n"/>
      <c r="W18" s="28" t="n"/>
      <c r="X18" s="24">
        <f>IF(OR($U18="Completado",$U18="No aplica"),6,IF(OR($R18="Completado",$R18="No aplica"),5,IF(OR($O18="Completado",$O18="No aplica"),4,IF(OR($L18="Completado",$L18="No aplica"),3,IF(OR($I18="Completado",$I18="No aplica"),2,1)))))</f>
        <v/>
      </c>
      <c r="Y18" s="29">
        <f>INDEX(Cat_Etapas,$X18)</f>
        <v/>
      </c>
      <c r="Z18" s="30">
        <f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/>
      </c>
      <c r="AA18" s="31">
        <f>IF($X18=6,"",IF(IFERROR(INDEX($I18:$V18,3*$X18-1),0)=0,"",INDEX($I18:$V18,3*$X18-1)))</f>
        <v/>
      </c>
      <c r="AB18" s="24">
        <f>IF($AA18="","",$AA18-TODAY())</f>
        <v/>
      </c>
      <c r="AC18" s="24">
        <f>IF($X18=6,"Cerrado",IF(OR($I18="Bloqueado",$L18="Bloqueado",$O18="Bloqueado",$R18="Bloqueado",$U18="Bloqueado"),"Bloqueado",IF($AA18="","Sin fecha",IF($AB18&lt;0,"Vencido",IF($AB18&lt;=7,"En riesgo","En tiempo")))))</f>
        <v/>
      </c>
      <c r="AD18" s="24" t="inlineStr">
        <is>
          <t>2026-03-19</t>
        </is>
      </c>
      <c r="AE18" s="25" t="n"/>
    </row>
    <row r="19" ht="25.5" customHeight="1">
      <c r="A19" s="24" t="inlineStr">
        <is>
          <t>INV-06</t>
        </is>
      </c>
      <c r="B19" s="24" t="inlineStr">
        <is>
          <t>Inventarios (D2B)</t>
        </is>
      </c>
      <c r="C19" s="24" t="inlineStr">
        <is>
          <t>411</t>
        </is>
      </c>
      <c r="D19" s="25" t="inlineStr">
        <is>
          <t>MX Artículo Fuera de Inventario para la Compra</t>
        </is>
      </c>
      <c r="E19" s="26" t="inlineStr">
        <is>
          <t>Almacén / Inventarios</t>
        </is>
      </c>
      <c r="F19" s="27" t="inlineStr">
        <is>
          <t>Jesus Ramirez</t>
        </is>
      </c>
      <c r="G19" s="27" t="inlineStr">
        <is>
          <t>Jose Mauricio Caranza</t>
        </is>
      </c>
      <c r="H19" s="24" t="inlineStr">
        <is>
          <t>Alta</t>
        </is>
      </c>
      <c r="I19" s="24" t="inlineStr">
        <is>
          <t>En proceso</t>
        </is>
      </c>
      <c r="J19" s="28" t="n">
        <v>46274</v>
      </c>
      <c r="K19" s="28" t="n"/>
      <c r="L19" s="24" t="inlineStr">
        <is>
          <t>No iniciado</t>
        </is>
      </c>
      <c r="M19" s="28" t="n">
        <v>46275</v>
      </c>
      <c r="N19" s="28" t="n"/>
      <c r="O19" s="24" t="inlineStr">
        <is>
          <t>No iniciado</t>
        </is>
      </c>
      <c r="P19" s="28" t="n">
        <v>46276</v>
      </c>
      <c r="Q19" s="28" t="n"/>
      <c r="R19" s="24" t="inlineStr">
        <is>
          <t>No iniciado</t>
        </is>
      </c>
      <c r="S19" s="28" t="n"/>
      <c r="T19" s="28" t="n"/>
      <c r="U19" s="24" t="inlineStr">
        <is>
          <t>No iniciado</t>
        </is>
      </c>
      <c r="V19" s="28" t="n"/>
      <c r="W19" s="28" t="n"/>
      <c r="X19" s="24">
        <f>IF(OR($U19="Completado",$U19="No aplica"),6,IF(OR($R19="Completado",$R19="No aplica"),5,IF(OR($O19="Completado",$O19="No aplica"),4,IF(OR($L19="Completado",$L19="No aplica"),3,IF(OR($I19="Completado",$I19="No aplica"),2,1)))))</f>
        <v/>
      </c>
      <c r="Y19" s="29">
        <f>INDEX(Cat_Etapas,$X19)</f>
        <v/>
      </c>
      <c r="Z19" s="30">
        <f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/>
      </c>
      <c r="AA19" s="31">
        <f>IF($X19=6,"",IF(IFERROR(INDEX($I19:$V19,3*$X19-1),0)=0,"",INDEX($I19:$V19,3*$X19-1)))</f>
        <v/>
      </c>
      <c r="AB19" s="24">
        <f>IF($AA19="","",$AA19-TODAY())</f>
        <v/>
      </c>
      <c r="AC19" s="24">
        <f>IF($X19=6,"Cerrado",IF(OR($I19="Bloqueado",$L19="Bloqueado",$O19="Bloqueado",$R19="Bloqueado",$U19="Bloqueado"),"Bloqueado",IF($AA19="","Sin fecha",IF($AB19&lt;0,"Vencido",IF($AB19&lt;=7,"En riesgo","En tiempo")))))</f>
        <v/>
      </c>
      <c r="AD19" s="24" t="inlineStr">
        <is>
          <t>2026-03-19</t>
        </is>
      </c>
      <c r="AE19" s="25" t="n"/>
    </row>
    <row r="20" ht="25.5" customHeight="1">
      <c r="A20" s="24" t="inlineStr">
        <is>
          <t>INV-07</t>
        </is>
      </c>
      <c r="B20" s="24" t="inlineStr">
        <is>
          <t>Inventarios (D2B)</t>
        </is>
      </c>
      <c r="C20" s="24" t="inlineStr">
        <is>
          <t>412</t>
        </is>
      </c>
      <c r="D20" s="25" t="inlineStr">
        <is>
          <t>MX Artículo Fuera de Inventario para la Venta</t>
        </is>
      </c>
      <c r="E20" s="26" t="inlineStr">
        <is>
          <t>Almacén / Inventarios</t>
        </is>
      </c>
      <c r="F20" s="27" t="inlineStr">
        <is>
          <t>Jesus Ramirez</t>
        </is>
      </c>
      <c r="G20" s="27" t="inlineStr">
        <is>
          <t>Jose Mauricio Caranza</t>
        </is>
      </c>
      <c r="H20" s="24" t="inlineStr">
        <is>
          <t>Alta</t>
        </is>
      </c>
      <c r="I20" s="24" t="inlineStr">
        <is>
          <t>En proceso</t>
        </is>
      </c>
      <c r="J20" s="28" t="n">
        <v>46274</v>
      </c>
      <c r="K20" s="28" t="n"/>
      <c r="L20" s="24" t="inlineStr">
        <is>
          <t>No iniciado</t>
        </is>
      </c>
      <c r="M20" s="28" t="n">
        <v>46275</v>
      </c>
      <c r="N20" s="28" t="n"/>
      <c r="O20" s="24" t="inlineStr">
        <is>
          <t>No iniciado</t>
        </is>
      </c>
      <c r="P20" s="28" t="n">
        <v>46276</v>
      </c>
      <c r="Q20" s="28" t="n"/>
      <c r="R20" s="24" t="inlineStr">
        <is>
          <t>No iniciado</t>
        </is>
      </c>
      <c r="S20" s="28" t="n"/>
      <c r="T20" s="28" t="n"/>
      <c r="U20" s="24" t="inlineStr">
        <is>
          <t>No iniciado</t>
        </is>
      </c>
      <c r="V20" s="28" t="n"/>
      <c r="W20" s="28" t="n"/>
      <c r="X20" s="24">
        <f>IF(OR($U20="Completado",$U20="No aplica"),6,IF(OR($R20="Completado",$R20="No aplica"),5,IF(OR($O20="Completado",$O20="No aplica"),4,IF(OR($L20="Completado",$L20="No aplica"),3,IF(OR($I20="Completado",$I20="No aplica"),2,1)))))</f>
        <v/>
      </c>
      <c r="Y20" s="29">
        <f>INDEX(Cat_Etapas,$X20)</f>
        <v/>
      </c>
      <c r="Z20" s="30">
        <f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/>
      </c>
      <c r="AA20" s="31">
        <f>IF($X20=6,"",IF(IFERROR(INDEX($I20:$V20,3*$X20-1),0)=0,"",INDEX($I20:$V20,3*$X20-1)))</f>
        <v/>
      </c>
      <c r="AB20" s="24">
        <f>IF($AA20="","",$AA20-TODAY())</f>
        <v/>
      </c>
      <c r="AC20" s="24">
        <f>IF($X20=6,"Cerrado",IF(OR($I20="Bloqueado",$L20="Bloqueado",$O20="Bloqueado",$R20="Bloqueado",$U20="Bloqueado"),"Bloqueado",IF($AA20="","Sin fecha",IF($AB20&lt;0,"Vencido",IF($AB20&lt;=7,"En riesgo","En tiempo")))))</f>
        <v/>
      </c>
      <c r="AD20" s="24" t="inlineStr">
        <is>
          <t>2026-03-19</t>
        </is>
      </c>
      <c r="AE20" s="25" t="n"/>
    </row>
    <row r="21" ht="25.5" customHeight="1">
      <c r="A21" s="24" t="inlineStr">
        <is>
          <t>INV-08</t>
        </is>
      </c>
      <c r="B21" s="24" t="inlineStr">
        <is>
          <t>Inventarios (D2B)</t>
        </is>
      </c>
      <c r="C21" s="24" t="inlineStr">
        <is>
          <t>413</t>
        </is>
      </c>
      <c r="D21" s="25" t="inlineStr">
        <is>
          <t>MX Artículo Fuera de Inventario para la Reventa</t>
        </is>
      </c>
      <c r="E21" s="26" t="inlineStr">
        <is>
          <t>Almacén / Inventarios</t>
        </is>
      </c>
      <c r="F21" s="27" t="inlineStr">
        <is>
          <t>Jesus Ramirez</t>
        </is>
      </c>
      <c r="G21" s="27" t="inlineStr">
        <is>
          <t>Jose Mauricio Caranza</t>
        </is>
      </c>
      <c r="H21" s="24" t="inlineStr">
        <is>
          <t>Alta</t>
        </is>
      </c>
      <c r="I21" s="24" t="inlineStr">
        <is>
          <t>En proceso</t>
        </is>
      </c>
      <c r="J21" s="28" t="n">
        <v>46274</v>
      </c>
      <c r="K21" s="28" t="n"/>
      <c r="L21" s="24" t="inlineStr">
        <is>
          <t>No iniciado</t>
        </is>
      </c>
      <c r="M21" s="28" t="n">
        <v>46275</v>
      </c>
      <c r="N21" s="28" t="n"/>
      <c r="O21" s="24" t="inlineStr">
        <is>
          <t>No iniciado</t>
        </is>
      </c>
      <c r="P21" s="28" t="n">
        <v>46276</v>
      </c>
      <c r="Q21" s="28" t="n"/>
      <c r="R21" s="24" t="inlineStr">
        <is>
          <t>No iniciado</t>
        </is>
      </c>
      <c r="S21" s="28" t="n"/>
      <c r="T21" s="28" t="n"/>
      <c r="U21" s="24" t="inlineStr">
        <is>
          <t>No iniciado</t>
        </is>
      </c>
      <c r="V21" s="28" t="n"/>
      <c r="W21" s="28" t="n"/>
      <c r="X21" s="24">
        <f>IF(OR($U21="Completado",$U21="No aplica"),6,IF(OR($R21="Completado",$R21="No aplica"),5,IF(OR($O21="Completado",$O21="No aplica"),4,IF(OR($L21="Completado",$L21="No aplica"),3,IF(OR($I21="Completado",$I21="No aplica"),2,1)))))</f>
        <v/>
      </c>
      <c r="Y21" s="29">
        <f>INDEX(Cat_Etapas,$X21)</f>
        <v/>
      </c>
      <c r="Z21" s="30">
        <f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/>
      </c>
      <c r="AA21" s="31">
        <f>IF($X21=6,"",IF(IFERROR(INDEX($I21:$V21,3*$X21-1),0)=0,"",INDEX($I21:$V21,3*$X21-1)))</f>
        <v/>
      </c>
      <c r="AB21" s="24">
        <f>IF($AA21="","",$AA21-TODAY())</f>
        <v/>
      </c>
      <c r="AC21" s="24">
        <f>IF($X21=6,"Cerrado",IF(OR($I21="Bloqueado",$L21="Bloqueado",$O21="Bloqueado",$R21="Bloqueado",$U21="Bloqueado"),"Bloqueado",IF($AA21="","Sin fecha",IF($AB21&lt;0,"Vencido",IF($AB21&lt;=7,"En riesgo","En tiempo")))))</f>
        <v/>
      </c>
      <c r="AD21" s="24" t="inlineStr">
        <is>
          <t>2026-03-19</t>
        </is>
      </c>
      <c r="AE21" s="25" t="n"/>
    </row>
    <row r="22" ht="25.5" customHeight="1">
      <c r="A22" s="24" t="inlineStr">
        <is>
          <t>INV-09</t>
        </is>
      </c>
      <c r="B22" s="24" t="inlineStr">
        <is>
          <t>Inventarios (D2B)</t>
        </is>
      </c>
      <c r="C22" s="24" t="inlineStr">
        <is>
          <t>414</t>
        </is>
      </c>
      <c r="D22" s="25" t="inlineStr">
        <is>
          <t>MX Artículo con Descuento</t>
        </is>
      </c>
      <c r="E22" s="26" t="inlineStr">
        <is>
          <t>Almacén / Inventarios</t>
        </is>
      </c>
      <c r="F22" s="27" t="inlineStr">
        <is>
          <t>Jesus Ramirez</t>
        </is>
      </c>
      <c r="G22" s="27" t="inlineStr">
        <is>
          <t>Jose Mauricio Caranza</t>
        </is>
      </c>
      <c r="H22" s="24" t="inlineStr">
        <is>
          <t>Alta</t>
        </is>
      </c>
      <c r="I22" s="24" t="inlineStr">
        <is>
          <t>En proceso</t>
        </is>
      </c>
      <c r="J22" s="28" t="n">
        <v>46274</v>
      </c>
      <c r="K22" s="28" t="n"/>
      <c r="L22" s="24" t="inlineStr">
        <is>
          <t>No iniciado</t>
        </is>
      </c>
      <c r="M22" s="28" t="n">
        <v>46275</v>
      </c>
      <c r="N22" s="28" t="n"/>
      <c r="O22" s="24" t="inlineStr">
        <is>
          <t>No iniciado</t>
        </is>
      </c>
      <c r="P22" s="28" t="n">
        <v>46276</v>
      </c>
      <c r="Q22" s="28" t="n"/>
      <c r="R22" s="24" t="inlineStr">
        <is>
          <t>No iniciado</t>
        </is>
      </c>
      <c r="S22" s="28" t="n"/>
      <c r="T22" s="28" t="n"/>
      <c r="U22" s="24" t="inlineStr">
        <is>
          <t>No iniciado</t>
        </is>
      </c>
      <c r="V22" s="28" t="n"/>
      <c r="W22" s="28" t="n"/>
      <c r="X22" s="24">
        <f>IF(OR($U22="Completado",$U22="No aplica"),6,IF(OR($R22="Completado",$R22="No aplica"),5,IF(OR($O22="Completado",$O22="No aplica"),4,IF(OR($L22="Completado",$L22="No aplica"),3,IF(OR($I22="Completado",$I22="No aplica"),2,1)))))</f>
        <v/>
      </c>
      <c r="Y22" s="29">
        <f>INDEX(Cat_Etapas,$X22)</f>
        <v/>
      </c>
      <c r="Z22" s="30">
        <f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/>
      </c>
      <c r="AA22" s="31">
        <f>IF($X22=6,"",IF(IFERROR(INDEX($I22:$V22,3*$X22-1),0)=0,"",INDEX($I22:$V22,3*$X22-1)))</f>
        <v/>
      </c>
      <c r="AB22" s="24">
        <f>IF($AA22="","",$AA22-TODAY())</f>
        <v/>
      </c>
      <c r="AC22" s="24">
        <f>IF($X22=6,"Cerrado",IF(OR($I22="Bloqueado",$L22="Bloqueado",$O22="Bloqueado",$R22="Bloqueado",$U22="Bloqueado"),"Bloqueado",IF($AA22="","Sin fecha",IF($AB22&lt;0,"Vencido",IF($AB22&lt;=7,"En riesgo","En tiempo")))))</f>
        <v/>
      </c>
      <c r="AD22" s="24" t="inlineStr">
        <is>
          <t>2026-03-19</t>
        </is>
      </c>
      <c r="AE22" s="25" t="n"/>
    </row>
    <row r="23" ht="25.5" customHeight="1">
      <c r="A23" s="24" t="inlineStr">
        <is>
          <t>INV-10</t>
        </is>
      </c>
      <c r="B23" s="24" t="inlineStr">
        <is>
          <t>Inventarios (D2B)</t>
        </is>
      </c>
      <c r="C23" s="24" t="inlineStr">
        <is>
          <t>415</t>
        </is>
      </c>
      <c r="D23" s="25" t="inlineStr">
        <is>
          <t>MX Artículo con Recargo</t>
        </is>
      </c>
      <c r="E23" s="26" t="inlineStr">
        <is>
          <t>Almacén / Inventarios</t>
        </is>
      </c>
      <c r="F23" s="27" t="inlineStr">
        <is>
          <t>Jesus Ramirez</t>
        </is>
      </c>
      <c r="G23" s="27" t="inlineStr">
        <is>
          <t>Jose Mauricio Caranza</t>
        </is>
      </c>
      <c r="H23" s="24" t="inlineStr">
        <is>
          <t>Alta</t>
        </is>
      </c>
      <c r="I23" s="24" t="inlineStr">
        <is>
          <t>En proceso</t>
        </is>
      </c>
      <c r="J23" s="28" t="n">
        <v>46274</v>
      </c>
      <c r="K23" s="28" t="n"/>
      <c r="L23" s="24" t="inlineStr">
        <is>
          <t>No iniciado</t>
        </is>
      </c>
      <c r="M23" s="28" t="n">
        <v>46275</v>
      </c>
      <c r="N23" s="28" t="n"/>
      <c r="O23" s="24" t="inlineStr">
        <is>
          <t>No iniciado</t>
        </is>
      </c>
      <c r="P23" s="28" t="n">
        <v>46276</v>
      </c>
      <c r="Q23" s="28" t="n"/>
      <c r="R23" s="24" t="inlineStr">
        <is>
          <t>No iniciado</t>
        </is>
      </c>
      <c r="S23" s="28" t="n"/>
      <c r="T23" s="28" t="n"/>
      <c r="U23" s="24" t="inlineStr">
        <is>
          <t>No iniciado</t>
        </is>
      </c>
      <c r="V23" s="28" t="n"/>
      <c r="W23" s="28" t="n"/>
      <c r="X23" s="24">
        <f>IF(OR($U23="Completado",$U23="No aplica"),6,IF(OR($R23="Completado",$R23="No aplica"),5,IF(OR($O23="Completado",$O23="No aplica"),4,IF(OR($L23="Completado",$L23="No aplica"),3,IF(OR($I23="Completado",$I23="No aplica"),2,1)))))</f>
        <v/>
      </c>
      <c r="Y23" s="29">
        <f>INDEX(Cat_Etapas,$X23)</f>
        <v/>
      </c>
      <c r="Z23" s="30">
        <f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/>
      </c>
      <c r="AA23" s="31">
        <f>IF($X23=6,"",IF(IFERROR(INDEX($I23:$V23,3*$X23-1),0)=0,"",INDEX($I23:$V23,3*$X23-1)))</f>
        <v/>
      </c>
      <c r="AB23" s="24">
        <f>IF($AA23="","",$AA23-TODAY())</f>
        <v/>
      </c>
      <c r="AC23" s="24">
        <f>IF($X23=6,"Cerrado",IF(OR($I23="Bloqueado",$L23="Bloqueado",$O23="Bloqueado",$R23="Bloqueado",$U23="Bloqueado"),"Bloqueado",IF($AA23="","Sin fecha",IF($AB23&lt;0,"Vencido",IF($AB23&lt;=7,"En riesgo","En tiempo")))))</f>
        <v/>
      </c>
      <c r="AD23" s="24" t="inlineStr">
        <is>
          <t>2026-03-19</t>
        </is>
      </c>
      <c r="AE23" s="25" t="n"/>
    </row>
    <row r="24" ht="25.5" customHeight="1">
      <c r="A24" s="24" t="inlineStr">
        <is>
          <t>INV-11</t>
        </is>
      </c>
      <c r="B24" s="24" t="inlineStr">
        <is>
          <t>Inventarios (D2B)</t>
        </is>
      </c>
      <c r="C24" s="24" t="inlineStr">
        <is>
          <t>416</t>
        </is>
      </c>
      <c r="D24" s="25" t="inlineStr">
        <is>
          <t>MX Artículo de Servicio para la Compra</t>
        </is>
      </c>
      <c r="E24" s="26" t="inlineStr">
        <is>
          <t>Almacén / Inventarios</t>
        </is>
      </c>
      <c r="F24" s="27" t="inlineStr">
        <is>
          <t>Jesus Ramirez</t>
        </is>
      </c>
      <c r="G24" s="27" t="inlineStr">
        <is>
          <t>Jose Mauricio Caranza</t>
        </is>
      </c>
      <c r="H24" s="24" t="inlineStr">
        <is>
          <t>Alta</t>
        </is>
      </c>
      <c r="I24" s="24" t="inlineStr">
        <is>
          <t>En proceso</t>
        </is>
      </c>
      <c r="J24" s="28" t="n">
        <v>46274</v>
      </c>
      <c r="K24" s="28" t="n"/>
      <c r="L24" s="24" t="inlineStr">
        <is>
          <t>No iniciado</t>
        </is>
      </c>
      <c r="M24" s="28" t="n">
        <v>46275</v>
      </c>
      <c r="N24" s="28" t="n"/>
      <c r="O24" s="24" t="inlineStr">
        <is>
          <t>No iniciado</t>
        </is>
      </c>
      <c r="P24" s="28" t="n">
        <v>46276</v>
      </c>
      <c r="Q24" s="28" t="n"/>
      <c r="R24" s="24" t="inlineStr">
        <is>
          <t>No iniciado</t>
        </is>
      </c>
      <c r="S24" s="28" t="n"/>
      <c r="T24" s="28" t="n"/>
      <c r="U24" s="24" t="inlineStr">
        <is>
          <t>No iniciado</t>
        </is>
      </c>
      <c r="V24" s="28" t="n"/>
      <c r="W24" s="28" t="n"/>
      <c r="X24" s="24">
        <f>IF(OR($U24="Completado",$U24="No aplica"),6,IF(OR($R24="Completado",$R24="No aplica"),5,IF(OR($O24="Completado",$O24="No aplica"),4,IF(OR($L24="Completado",$L24="No aplica"),3,IF(OR($I24="Completado",$I24="No aplica"),2,1)))))</f>
        <v/>
      </c>
      <c r="Y24" s="29">
        <f>INDEX(Cat_Etapas,$X24)</f>
        <v/>
      </c>
      <c r="Z24" s="30">
        <f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/>
      </c>
      <c r="AA24" s="31">
        <f>IF($X24=6,"",IF(IFERROR(INDEX($I24:$V24,3*$X24-1),0)=0,"",INDEX($I24:$V24,3*$X24-1)))</f>
        <v/>
      </c>
      <c r="AB24" s="24">
        <f>IF($AA24="","",$AA24-TODAY())</f>
        <v/>
      </c>
      <c r="AC24" s="24">
        <f>IF($X24=6,"Cerrado",IF(OR($I24="Bloqueado",$L24="Bloqueado",$O24="Bloqueado",$R24="Bloqueado",$U24="Bloqueado"),"Bloqueado",IF($AA24="","Sin fecha",IF($AB24&lt;0,"Vencido",IF($AB24&lt;=7,"En riesgo","En tiempo")))))</f>
        <v/>
      </c>
      <c r="AD24" s="24" t="inlineStr">
        <is>
          <t>2026-03-19</t>
        </is>
      </c>
      <c r="AE24" s="25" t="n"/>
    </row>
    <row r="25" ht="25.5" customHeight="1">
      <c r="A25" s="24" t="inlineStr">
        <is>
          <t>INV-12</t>
        </is>
      </c>
      <c r="B25" s="24" t="inlineStr">
        <is>
          <t>Inventarios (D2B)</t>
        </is>
      </c>
      <c r="C25" s="24" t="inlineStr">
        <is>
          <t>417</t>
        </is>
      </c>
      <c r="D25" s="25" t="inlineStr">
        <is>
          <t>MX Artículo de Servicio para la Venta</t>
        </is>
      </c>
      <c r="E25" s="26" t="inlineStr">
        <is>
          <t>Almacén / Inventarios</t>
        </is>
      </c>
      <c r="F25" s="27" t="inlineStr">
        <is>
          <t>Jesus Ramirez</t>
        </is>
      </c>
      <c r="G25" s="27" t="inlineStr">
        <is>
          <t>Jose Mauricio Caranza</t>
        </is>
      </c>
      <c r="H25" s="24" t="inlineStr">
        <is>
          <t>Alta</t>
        </is>
      </c>
      <c r="I25" s="24" t="inlineStr">
        <is>
          <t>En proceso</t>
        </is>
      </c>
      <c r="J25" s="28" t="n">
        <v>46274</v>
      </c>
      <c r="K25" s="28" t="n"/>
      <c r="L25" s="24" t="inlineStr">
        <is>
          <t>No iniciado</t>
        </is>
      </c>
      <c r="M25" s="28" t="n">
        <v>46275</v>
      </c>
      <c r="N25" s="28" t="n"/>
      <c r="O25" s="24" t="inlineStr">
        <is>
          <t>No iniciado</t>
        </is>
      </c>
      <c r="P25" s="28" t="n">
        <v>46276</v>
      </c>
      <c r="Q25" s="28" t="n"/>
      <c r="R25" s="24" t="inlineStr">
        <is>
          <t>No iniciado</t>
        </is>
      </c>
      <c r="S25" s="28" t="n"/>
      <c r="T25" s="28" t="n"/>
      <c r="U25" s="24" t="inlineStr">
        <is>
          <t>No iniciado</t>
        </is>
      </c>
      <c r="V25" s="28" t="n"/>
      <c r="W25" s="28" t="n"/>
      <c r="X25" s="24">
        <f>IF(OR($U25="Completado",$U25="No aplica"),6,IF(OR($R25="Completado",$R25="No aplica"),5,IF(OR($O25="Completado",$O25="No aplica"),4,IF(OR($L25="Completado",$L25="No aplica"),3,IF(OR($I25="Completado",$I25="No aplica"),2,1)))))</f>
        <v/>
      </c>
      <c r="Y25" s="29">
        <f>INDEX(Cat_Etapas,$X25)</f>
        <v/>
      </c>
      <c r="Z25" s="30">
        <f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/>
      </c>
      <c r="AA25" s="31">
        <f>IF($X25=6,"",IF(IFERROR(INDEX($I25:$V25,3*$X25-1),0)=0,"",INDEX($I25:$V25,3*$X25-1)))</f>
        <v/>
      </c>
      <c r="AB25" s="24">
        <f>IF($AA25="","",$AA25-TODAY())</f>
        <v/>
      </c>
      <c r="AC25" s="24">
        <f>IF($X25=6,"Cerrado",IF(OR($I25="Bloqueado",$L25="Bloqueado",$O25="Bloqueado",$R25="Bloqueado",$U25="Bloqueado"),"Bloqueado",IF($AA25="","Sin fecha",IF($AB25&lt;0,"Vencido",IF($AB25&lt;=7,"En riesgo","En tiempo")))))</f>
        <v/>
      </c>
      <c r="AD25" s="24" t="inlineStr">
        <is>
          <t>2026-03-19</t>
        </is>
      </c>
      <c r="AE25" s="25" t="n"/>
    </row>
    <row r="26" ht="25.5" customHeight="1">
      <c r="A26" s="24" t="inlineStr">
        <is>
          <t>INV-13</t>
        </is>
      </c>
      <c r="B26" s="24" t="inlineStr">
        <is>
          <t>Inventarios (D2B)</t>
        </is>
      </c>
      <c r="C26" s="24" t="inlineStr">
        <is>
          <t>418</t>
        </is>
      </c>
      <c r="D26" s="25" t="inlineStr">
        <is>
          <t>MX Artículo de Servicio para la Reventa</t>
        </is>
      </c>
      <c r="E26" s="26" t="inlineStr">
        <is>
          <t>Almacén / Inventarios</t>
        </is>
      </c>
      <c r="F26" s="27" t="inlineStr">
        <is>
          <t>Jesus Ramirez</t>
        </is>
      </c>
      <c r="G26" s="27" t="inlineStr">
        <is>
          <t>Jose Mauricio Caranza</t>
        </is>
      </c>
      <c r="H26" s="24" t="inlineStr">
        <is>
          <t>Alta</t>
        </is>
      </c>
      <c r="I26" s="24" t="inlineStr">
        <is>
          <t>En proceso</t>
        </is>
      </c>
      <c r="J26" s="28" t="n">
        <v>46274</v>
      </c>
      <c r="K26" s="28" t="n"/>
      <c r="L26" s="24" t="inlineStr">
        <is>
          <t>No iniciado</t>
        </is>
      </c>
      <c r="M26" s="28" t="n">
        <v>46275</v>
      </c>
      <c r="N26" s="28" t="n"/>
      <c r="O26" s="24" t="inlineStr">
        <is>
          <t>No iniciado</t>
        </is>
      </c>
      <c r="P26" s="28" t="n">
        <v>46276</v>
      </c>
      <c r="Q26" s="28" t="n"/>
      <c r="R26" s="24" t="inlineStr">
        <is>
          <t>No iniciado</t>
        </is>
      </c>
      <c r="S26" s="28" t="n"/>
      <c r="T26" s="28" t="n"/>
      <c r="U26" s="24" t="inlineStr">
        <is>
          <t>No iniciado</t>
        </is>
      </c>
      <c r="V26" s="28" t="n"/>
      <c r="W26" s="28" t="n"/>
      <c r="X26" s="24">
        <f>IF(OR($U26="Completado",$U26="No aplica"),6,IF(OR($R26="Completado",$R26="No aplica"),5,IF(OR($O26="Completado",$O26="No aplica"),4,IF(OR($L26="Completado",$L26="No aplica"),3,IF(OR($I26="Completado",$I26="No aplica"),2,1)))))</f>
        <v/>
      </c>
      <c r="Y26" s="29">
        <f>INDEX(Cat_Etapas,$X26)</f>
        <v/>
      </c>
      <c r="Z26" s="30">
        <f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/>
      </c>
      <c r="AA26" s="31">
        <f>IF($X26=6,"",IF(IFERROR(INDEX($I26:$V26,3*$X26-1),0)=0,"",INDEX($I26:$V26,3*$X26-1)))</f>
        <v/>
      </c>
      <c r="AB26" s="24">
        <f>IF($AA26="","",$AA26-TODAY())</f>
        <v/>
      </c>
      <c r="AC26" s="24">
        <f>IF($X26=6,"Cerrado",IF(OR($I26="Bloqueado",$L26="Bloqueado",$O26="Bloqueado",$R26="Bloqueado",$U26="Bloqueado"),"Bloqueado",IF($AA26="","Sin fecha",IF($AB26&lt;0,"Vencido",IF($AB26&lt;=7,"En riesgo","En tiempo")))))</f>
        <v/>
      </c>
      <c r="AD26" s="24" t="inlineStr">
        <is>
          <t>2026-03-19</t>
        </is>
      </c>
      <c r="AE26" s="25" t="n"/>
    </row>
    <row r="27" ht="25.5" customHeight="1">
      <c r="A27" s="24" t="inlineStr">
        <is>
          <t>INV-14</t>
        </is>
      </c>
      <c r="B27" s="24" t="inlineStr">
        <is>
          <t>Inventarios (D2B)</t>
        </is>
      </c>
      <c r="C27" s="24" t="inlineStr">
        <is>
          <t>419</t>
        </is>
      </c>
      <c r="D27" s="25" t="inlineStr">
        <is>
          <t>MX Artículo de Otro Cargo para la Compra</t>
        </is>
      </c>
      <c r="E27" s="26" t="inlineStr">
        <is>
          <t>Almacén / Inventarios</t>
        </is>
      </c>
      <c r="F27" s="27" t="inlineStr">
        <is>
          <t>Jesus Ramirez</t>
        </is>
      </c>
      <c r="G27" s="27" t="inlineStr">
        <is>
          <t>Jose Mauricio Caranza</t>
        </is>
      </c>
      <c r="H27" s="24" t="inlineStr">
        <is>
          <t>Alta</t>
        </is>
      </c>
      <c r="I27" s="24" t="inlineStr">
        <is>
          <t>En proceso</t>
        </is>
      </c>
      <c r="J27" s="28" t="n">
        <v>46274</v>
      </c>
      <c r="K27" s="28" t="n"/>
      <c r="L27" s="24" t="inlineStr">
        <is>
          <t>No iniciado</t>
        </is>
      </c>
      <c r="M27" s="28" t="n">
        <v>46275</v>
      </c>
      <c r="N27" s="28" t="n"/>
      <c r="O27" s="24" t="inlineStr">
        <is>
          <t>No iniciado</t>
        </is>
      </c>
      <c r="P27" s="28" t="n">
        <v>46276</v>
      </c>
      <c r="Q27" s="28" t="n"/>
      <c r="R27" s="24" t="inlineStr">
        <is>
          <t>No iniciado</t>
        </is>
      </c>
      <c r="S27" s="28" t="n"/>
      <c r="T27" s="28" t="n"/>
      <c r="U27" s="24" t="inlineStr">
        <is>
          <t>No iniciado</t>
        </is>
      </c>
      <c r="V27" s="28" t="n"/>
      <c r="W27" s="28" t="n"/>
      <c r="X27" s="24">
        <f>IF(OR($U27="Completado",$U27="No aplica"),6,IF(OR($R27="Completado",$R27="No aplica"),5,IF(OR($O27="Completado",$O27="No aplica"),4,IF(OR($L27="Completado",$L27="No aplica"),3,IF(OR($I27="Completado",$I27="No aplica"),2,1)))))</f>
        <v/>
      </c>
      <c r="Y27" s="29">
        <f>INDEX(Cat_Etapas,$X27)</f>
        <v/>
      </c>
      <c r="Z27" s="30">
        <f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/>
      </c>
      <c r="AA27" s="31">
        <f>IF($X27=6,"",IF(IFERROR(INDEX($I27:$V27,3*$X27-1),0)=0,"",INDEX($I27:$V27,3*$X27-1)))</f>
        <v/>
      </c>
      <c r="AB27" s="24">
        <f>IF($AA27="","",$AA27-TODAY())</f>
        <v/>
      </c>
      <c r="AC27" s="24">
        <f>IF($X27=6,"Cerrado",IF(OR($I27="Bloqueado",$L27="Bloqueado",$O27="Bloqueado",$R27="Bloqueado",$U27="Bloqueado"),"Bloqueado",IF($AA27="","Sin fecha",IF($AB27&lt;0,"Vencido",IF($AB27&lt;=7,"En riesgo","En tiempo")))))</f>
        <v/>
      </c>
      <c r="AD27" s="24" t="inlineStr">
        <is>
          <t>2026-03-19</t>
        </is>
      </c>
      <c r="AE27" s="25" t="n"/>
    </row>
    <row r="28" ht="25.5" customHeight="1">
      <c r="A28" s="24" t="inlineStr">
        <is>
          <t>INV-15</t>
        </is>
      </c>
      <c r="B28" s="24" t="inlineStr">
        <is>
          <t>Inventarios (D2B)</t>
        </is>
      </c>
      <c r="C28" s="24" t="inlineStr">
        <is>
          <t>420</t>
        </is>
      </c>
      <c r="D28" s="25" t="inlineStr">
        <is>
          <t>MX Artículo de Otro Cargo para la Venta</t>
        </is>
      </c>
      <c r="E28" s="26" t="inlineStr">
        <is>
          <t>Almacén / Inventarios</t>
        </is>
      </c>
      <c r="F28" s="27" t="inlineStr">
        <is>
          <t>Jesus Ramirez</t>
        </is>
      </c>
      <c r="G28" s="27" t="inlineStr">
        <is>
          <t>Jose Mauricio Caranza</t>
        </is>
      </c>
      <c r="H28" s="24" t="inlineStr">
        <is>
          <t>Alta</t>
        </is>
      </c>
      <c r="I28" s="24" t="inlineStr">
        <is>
          <t>En proceso</t>
        </is>
      </c>
      <c r="J28" s="28" t="n">
        <v>46274</v>
      </c>
      <c r="K28" s="28" t="n"/>
      <c r="L28" s="24" t="inlineStr">
        <is>
          <t>No iniciado</t>
        </is>
      </c>
      <c r="M28" s="28" t="n">
        <v>46275</v>
      </c>
      <c r="N28" s="28" t="n"/>
      <c r="O28" s="24" t="inlineStr">
        <is>
          <t>No iniciado</t>
        </is>
      </c>
      <c r="P28" s="28" t="n">
        <v>46276</v>
      </c>
      <c r="Q28" s="28" t="n"/>
      <c r="R28" s="24" t="inlineStr">
        <is>
          <t>No iniciado</t>
        </is>
      </c>
      <c r="S28" s="28" t="n"/>
      <c r="T28" s="28" t="n"/>
      <c r="U28" s="24" t="inlineStr">
        <is>
          <t>No iniciado</t>
        </is>
      </c>
      <c r="V28" s="28" t="n"/>
      <c r="W28" s="28" t="n"/>
      <c r="X28" s="24">
        <f>IF(OR($U28="Completado",$U28="No aplica"),6,IF(OR($R28="Completado",$R28="No aplica"),5,IF(OR($O28="Completado",$O28="No aplica"),4,IF(OR($L28="Completado",$L28="No aplica"),3,IF(OR($I28="Completado",$I28="No aplica"),2,1)))))</f>
        <v/>
      </c>
      <c r="Y28" s="29">
        <f>INDEX(Cat_Etapas,$X28)</f>
        <v/>
      </c>
      <c r="Z28" s="30">
        <f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/>
      </c>
      <c r="AA28" s="31">
        <f>IF($X28=6,"",IF(IFERROR(INDEX($I28:$V28,3*$X28-1),0)=0,"",INDEX($I28:$V28,3*$X28-1)))</f>
        <v/>
      </c>
      <c r="AB28" s="24">
        <f>IF($AA28="","",$AA28-TODAY())</f>
        <v/>
      </c>
      <c r="AC28" s="24">
        <f>IF($X28=6,"Cerrado",IF(OR($I28="Bloqueado",$L28="Bloqueado",$O28="Bloqueado",$R28="Bloqueado",$U28="Bloqueado"),"Bloqueado",IF($AA28="","Sin fecha",IF($AB28&lt;0,"Vencido",IF($AB28&lt;=7,"En riesgo","En tiempo")))))</f>
        <v/>
      </c>
      <c r="AD28" s="24" t="inlineStr">
        <is>
          <t>2026-03-19</t>
        </is>
      </c>
      <c r="AE28" s="25" t="n"/>
    </row>
    <row r="29" ht="25.5" customHeight="1">
      <c r="A29" s="24" t="inlineStr">
        <is>
          <t>INV-16</t>
        </is>
      </c>
      <c r="B29" s="24" t="inlineStr">
        <is>
          <t>Inventarios (D2B)</t>
        </is>
      </c>
      <c r="C29" s="24" t="inlineStr">
        <is>
          <t>421</t>
        </is>
      </c>
      <c r="D29" s="25" t="inlineStr">
        <is>
          <t>MX Artículo de Otro Cargo para la Reventa</t>
        </is>
      </c>
      <c r="E29" s="26" t="inlineStr">
        <is>
          <t>Almacén / Inventarios</t>
        </is>
      </c>
      <c r="F29" s="27" t="inlineStr">
        <is>
          <t>Jesus Ramirez</t>
        </is>
      </c>
      <c r="G29" s="27" t="inlineStr">
        <is>
          <t>Jose Mauricio Caranza</t>
        </is>
      </c>
      <c r="H29" s="24" t="inlineStr">
        <is>
          <t>Alta</t>
        </is>
      </c>
      <c r="I29" s="24" t="inlineStr">
        <is>
          <t>En proceso</t>
        </is>
      </c>
      <c r="J29" s="28" t="n">
        <v>46274</v>
      </c>
      <c r="K29" s="28" t="n"/>
      <c r="L29" s="24" t="inlineStr">
        <is>
          <t>No iniciado</t>
        </is>
      </c>
      <c r="M29" s="28" t="n">
        <v>46275</v>
      </c>
      <c r="N29" s="28" t="n"/>
      <c r="O29" s="24" t="inlineStr">
        <is>
          <t>No iniciado</t>
        </is>
      </c>
      <c r="P29" s="28" t="n">
        <v>46276</v>
      </c>
      <c r="Q29" s="28" t="n"/>
      <c r="R29" s="24" t="inlineStr">
        <is>
          <t>No iniciado</t>
        </is>
      </c>
      <c r="S29" s="28" t="n"/>
      <c r="T29" s="28" t="n"/>
      <c r="U29" s="24" t="inlineStr">
        <is>
          <t>No iniciado</t>
        </is>
      </c>
      <c r="V29" s="28" t="n"/>
      <c r="W29" s="28" t="n"/>
      <c r="X29" s="24">
        <f>IF(OR($U29="Completado",$U29="No aplica"),6,IF(OR($R29="Completado",$R29="No aplica"),5,IF(OR($O29="Completado",$O29="No aplica"),4,IF(OR($L29="Completado",$L29="No aplica"),3,IF(OR($I29="Completado",$I29="No aplica"),2,1)))))</f>
        <v/>
      </c>
      <c r="Y29" s="29">
        <f>INDEX(Cat_Etapas,$X29)</f>
        <v/>
      </c>
      <c r="Z29" s="30">
        <f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/>
      </c>
      <c r="AA29" s="31">
        <f>IF($X29=6,"",IF(IFERROR(INDEX($I29:$V29,3*$X29-1),0)=0,"",INDEX($I29:$V29,3*$X29-1)))</f>
        <v/>
      </c>
      <c r="AB29" s="24">
        <f>IF($AA29="","",$AA29-TODAY())</f>
        <v/>
      </c>
      <c r="AC29" s="24">
        <f>IF($X29=6,"Cerrado",IF(OR($I29="Bloqueado",$L29="Bloqueado",$O29="Bloqueado",$R29="Bloqueado",$U29="Bloqueado"),"Bloqueado",IF($AA29="","Sin fecha",IF($AB29&lt;0,"Vencido",IF($AB29&lt;=7,"En riesgo","En tiempo")))))</f>
        <v/>
      </c>
      <c r="AD29" s="24" t="inlineStr">
        <is>
          <t>2026-03-19</t>
        </is>
      </c>
      <c r="AE29" s="25" t="n"/>
    </row>
    <row r="30" ht="25.5" customHeight="1">
      <c r="A30" s="24" t="inlineStr">
        <is>
          <t>INV-17</t>
        </is>
      </c>
      <c r="B30" s="24" t="inlineStr">
        <is>
          <t>Inventarios (D2B)</t>
        </is>
      </c>
      <c r="C30" s="24" t="inlineStr">
        <is>
          <t>450</t>
        </is>
      </c>
      <c r="D30" s="25" t="inlineStr">
        <is>
          <t>MX Grupo de Artículos</t>
        </is>
      </c>
      <c r="E30" s="26" t="inlineStr">
        <is>
          <t>Almacén / Inventarios</t>
        </is>
      </c>
      <c r="F30" s="27" t="inlineStr">
        <is>
          <t>Jesus Ramirez</t>
        </is>
      </c>
      <c r="G30" s="27" t="inlineStr">
        <is>
          <t>Jose Mauricio Caranza</t>
        </is>
      </c>
      <c r="H30" s="24" t="inlineStr">
        <is>
          <t>Alta</t>
        </is>
      </c>
      <c r="I30" s="24" t="inlineStr">
        <is>
          <t>En proceso</t>
        </is>
      </c>
      <c r="J30" s="28" t="n">
        <v>46274</v>
      </c>
      <c r="K30" s="28" t="n"/>
      <c r="L30" s="24" t="inlineStr">
        <is>
          <t>No iniciado</t>
        </is>
      </c>
      <c r="M30" s="28" t="n">
        <v>46275</v>
      </c>
      <c r="N30" s="28" t="n"/>
      <c r="O30" s="24" t="inlineStr">
        <is>
          <t>No iniciado</t>
        </is>
      </c>
      <c r="P30" s="28" t="n">
        <v>46276</v>
      </c>
      <c r="Q30" s="28" t="n"/>
      <c r="R30" s="24" t="inlineStr">
        <is>
          <t>No iniciado</t>
        </is>
      </c>
      <c r="S30" s="28" t="n"/>
      <c r="T30" s="28" t="n"/>
      <c r="U30" s="24" t="inlineStr">
        <is>
          <t>No iniciado</t>
        </is>
      </c>
      <c r="V30" s="28" t="n"/>
      <c r="W30" s="28" t="n"/>
      <c r="X30" s="24">
        <f>IF(OR($U30="Completado",$U30="No aplica"),6,IF(OR($R30="Completado",$R30="No aplica"),5,IF(OR($O30="Completado",$O30="No aplica"),4,IF(OR($L30="Completado",$L30="No aplica"),3,IF(OR($I30="Completado",$I30="No aplica"),2,1)))))</f>
        <v/>
      </c>
      <c r="Y30" s="29">
        <f>INDEX(Cat_Etapas,$X30)</f>
        <v/>
      </c>
      <c r="Z30" s="30">
        <f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/>
      </c>
      <c r="AA30" s="31">
        <f>IF($X30=6,"",IF(IFERROR(INDEX($I30:$V30,3*$X30-1),0)=0,"",INDEX($I30:$V30,3*$X30-1)))</f>
        <v/>
      </c>
      <c r="AB30" s="24">
        <f>IF($AA30="","",$AA30-TODAY())</f>
        <v/>
      </c>
      <c r="AC30" s="24">
        <f>IF($X30=6,"Cerrado",IF(OR($I30="Bloqueado",$L30="Bloqueado",$O30="Bloqueado",$R30="Bloqueado",$U30="Bloqueado"),"Bloqueado",IF($AA30="","Sin fecha",IF($AB30&lt;0,"Vencido",IF($AB30&lt;=7,"En riesgo","En tiempo")))))</f>
        <v/>
      </c>
      <c r="AD30" s="24" t="inlineStr">
        <is>
          <t>2026-03-19</t>
        </is>
      </c>
      <c r="AE30" s="25" t="n"/>
    </row>
    <row r="31" ht="25.5" customHeight="1">
      <c r="A31" s="24" t="inlineStr">
        <is>
          <t>INV-18</t>
        </is>
      </c>
      <c r="B31" s="24" t="inlineStr">
        <is>
          <t>Inventarios (D2B)</t>
        </is>
      </c>
      <c r="C31" s="24" t="inlineStr">
        <is>
          <t>451</t>
        </is>
      </c>
      <c r="D31" s="25" t="inlineStr">
        <is>
          <t>MX Kit de Artículos</t>
        </is>
      </c>
      <c r="E31" s="26" t="inlineStr">
        <is>
          <t>Almacén / Inventarios</t>
        </is>
      </c>
      <c r="F31" s="27" t="inlineStr">
        <is>
          <t>Jesus Ramirez</t>
        </is>
      </c>
      <c r="G31" s="27" t="inlineStr">
        <is>
          <t>Jose Mauricio Caranza</t>
        </is>
      </c>
      <c r="H31" s="24" t="inlineStr">
        <is>
          <t>Alta</t>
        </is>
      </c>
      <c r="I31" s="24" t="inlineStr">
        <is>
          <t>En proceso</t>
        </is>
      </c>
      <c r="J31" s="28" t="n">
        <v>46274</v>
      </c>
      <c r="K31" s="28" t="n"/>
      <c r="L31" s="24" t="inlineStr">
        <is>
          <t>No iniciado</t>
        </is>
      </c>
      <c r="M31" s="28" t="n">
        <v>46275</v>
      </c>
      <c r="N31" s="28" t="n"/>
      <c r="O31" s="24" t="inlineStr">
        <is>
          <t>No iniciado</t>
        </is>
      </c>
      <c r="P31" s="28" t="n">
        <v>46276</v>
      </c>
      <c r="Q31" s="28" t="n"/>
      <c r="R31" s="24" t="inlineStr">
        <is>
          <t>No iniciado</t>
        </is>
      </c>
      <c r="S31" s="28" t="n"/>
      <c r="T31" s="28" t="n"/>
      <c r="U31" s="24" t="inlineStr">
        <is>
          <t>No iniciado</t>
        </is>
      </c>
      <c r="V31" s="28" t="n"/>
      <c r="W31" s="28" t="n"/>
      <c r="X31" s="24">
        <f>IF(OR($U31="Completado",$U31="No aplica"),6,IF(OR($R31="Completado",$R31="No aplica"),5,IF(OR($O31="Completado",$O31="No aplica"),4,IF(OR($L31="Completado",$L31="No aplica"),3,IF(OR($I31="Completado",$I31="No aplica"),2,1)))))</f>
        <v/>
      </c>
      <c r="Y31" s="29">
        <f>INDEX(Cat_Etapas,$X31)</f>
        <v/>
      </c>
      <c r="Z31" s="30">
        <f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/>
      </c>
      <c r="AA31" s="31">
        <f>IF($X31=6,"",IF(IFERROR(INDEX($I31:$V31,3*$X31-1),0)=0,"",INDEX($I31:$V31,3*$X31-1)))</f>
        <v/>
      </c>
      <c r="AB31" s="24">
        <f>IF($AA31="","",$AA31-TODAY())</f>
        <v/>
      </c>
      <c r="AC31" s="24">
        <f>IF($X31=6,"Cerrado",IF(OR($I31="Bloqueado",$L31="Bloqueado",$O31="Bloqueado",$R31="Bloqueado",$U31="Bloqueado"),"Bloqueado",IF($AA31="","Sin fecha",IF($AB31&lt;0,"Vencido",IF($AB31&lt;=7,"En riesgo","En tiempo")))))</f>
        <v/>
      </c>
      <c r="AD31" s="24" t="inlineStr">
        <is>
          <t>2026-03-19</t>
        </is>
      </c>
      <c r="AE31" s="25" t="n"/>
    </row>
    <row r="32" ht="25.5" customHeight="1">
      <c r="A32" s="24" t="inlineStr">
        <is>
          <t>INV-19</t>
        </is>
      </c>
      <c r="B32" s="24" t="inlineStr">
        <is>
          <t>Inventarios (D2B)</t>
        </is>
      </c>
      <c r="C32" s="24" t="inlineStr">
        <is>
          <t>460</t>
        </is>
      </c>
      <c r="D32" s="25" t="inlineStr">
        <is>
          <t>MX Artículos de Inventario por Lote</t>
        </is>
      </c>
      <c r="E32" s="26" t="inlineStr">
        <is>
          <t>Almacén / Inventarios</t>
        </is>
      </c>
      <c r="F32" s="27" t="inlineStr">
        <is>
          <t>Jesus Ramirez</t>
        </is>
      </c>
      <c r="G32" s="27" t="inlineStr">
        <is>
          <t>Jose Mauricio Caranza</t>
        </is>
      </c>
      <c r="H32" s="24" t="inlineStr">
        <is>
          <t>Alta</t>
        </is>
      </c>
      <c r="I32" s="24" t="inlineStr">
        <is>
          <t>En proceso</t>
        </is>
      </c>
      <c r="J32" s="28" t="n">
        <v>46274</v>
      </c>
      <c r="K32" s="28" t="n"/>
      <c r="L32" s="24" t="inlineStr">
        <is>
          <t>No iniciado</t>
        </is>
      </c>
      <c r="M32" s="28" t="n">
        <v>46275</v>
      </c>
      <c r="N32" s="28" t="n"/>
      <c r="O32" s="24" t="inlineStr">
        <is>
          <t>No iniciado</t>
        </is>
      </c>
      <c r="P32" s="28" t="n">
        <v>46276</v>
      </c>
      <c r="Q32" s="28" t="n"/>
      <c r="R32" s="24" t="inlineStr">
        <is>
          <t>No iniciado</t>
        </is>
      </c>
      <c r="S32" s="28" t="n"/>
      <c r="T32" s="28" t="n"/>
      <c r="U32" s="24" t="inlineStr">
        <is>
          <t>No iniciado</t>
        </is>
      </c>
      <c r="V32" s="28" t="n"/>
      <c r="W32" s="28" t="n"/>
      <c r="X32" s="24">
        <f>IF(OR($U32="Completado",$U32="No aplica"),6,IF(OR($R32="Completado",$R32="No aplica"),5,IF(OR($O32="Completado",$O32="No aplica"),4,IF(OR($L32="Completado",$L32="No aplica"),3,IF(OR($I32="Completado",$I32="No aplica"),2,1)))))</f>
        <v/>
      </c>
      <c r="Y32" s="29">
        <f>INDEX(Cat_Etapas,$X32)</f>
        <v/>
      </c>
      <c r="Z32" s="30">
        <f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/>
      </c>
      <c r="AA32" s="31">
        <f>IF($X32=6,"",IF(IFERROR(INDEX($I32:$V32,3*$X32-1),0)=0,"",INDEX($I32:$V32,3*$X32-1)))</f>
        <v/>
      </c>
      <c r="AB32" s="24">
        <f>IF($AA32="","",$AA32-TODAY())</f>
        <v/>
      </c>
      <c r="AC32" s="24">
        <f>IF($X32=6,"Cerrado",IF(OR($I32="Bloqueado",$L32="Bloqueado",$O32="Bloqueado",$R32="Bloqueado",$U32="Bloqueado"),"Bloqueado",IF($AA32="","Sin fecha",IF($AB32&lt;0,"Vencido",IF($AB32&lt;=7,"En riesgo","En tiempo")))))</f>
        <v/>
      </c>
      <c r="AD32" s="24" t="inlineStr">
        <is>
          <t>2026-03-19</t>
        </is>
      </c>
      <c r="AE32" s="25" t="n"/>
    </row>
    <row r="33" ht="25.5" customHeight="1">
      <c r="A33" s="24" t="inlineStr">
        <is>
          <t>INV-20</t>
        </is>
      </c>
      <c r="B33" s="24" t="inlineStr">
        <is>
          <t>Inventarios (D2B)</t>
        </is>
      </c>
      <c r="C33" s="24" t="inlineStr">
        <is>
          <t>461</t>
        </is>
      </c>
      <c r="D33" s="25" t="inlineStr">
        <is>
          <t>MX Artículos de Inventario por Serie</t>
        </is>
      </c>
      <c r="E33" s="26" t="inlineStr">
        <is>
          <t>Almacén / Inventarios</t>
        </is>
      </c>
      <c r="F33" s="27" t="inlineStr">
        <is>
          <t>Jesus Ramirez</t>
        </is>
      </c>
      <c r="G33" s="27" t="inlineStr">
        <is>
          <t>Jose Mauricio Caranza</t>
        </is>
      </c>
      <c r="H33" s="24" t="inlineStr">
        <is>
          <t>Alta</t>
        </is>
      </c>
      <c r="I33" s="24" t="inlineStr">
        <is>
          <t>En proceso</t>
        </is>
      </c>
      <c r="J33" s="28" t="n">
        <v>46274</v>
      </c>
      <c r="K33" s="28" t="n"/>
      <c r="L33" s="24" t="inlineStr">
        <is>
          <t>No iniciado</t>
        </is>
      </c>
      <c r="M33" s="28" t="n">
        <v>46275</v>
      </c>
      <c r="N33" s="28" t="n"/>
      <c r="O33" s="24" t="inlineStr">
        <is>
          <t>No iniciado</t>
        </is>
      </c>
      <c r="P33" s="28" t="n">
        <v>46276</v>
      </c>
      <c r="Q33" s="28" t="n"/>
      <c r="R33" s="24" t="inlineStr">
        <is>
          <t>No iniciado</t>
        </is>
      </c>
      <c r="S33" s="28" t="n"/>
      <c r="T33" s="28" t="n"/>
      <c r="U33" s="24" t="inlineStr">
        <is>
          <t>No iniciado</t>
        </is>
      </c>
      <c r="V33" s="28" t="n"/>
      <c r="W33" s="28" t="n"/>
      <c r="X33" s="24">
        <f>IF(OR($U33="Completado",$U33="No aplica"),6,IF(OR($R33="Completado",$R33="No aplica"),5,IF(OR($O33="Completado",$O33="No aplica"),4,IF(OR($L33="Completado",$L33="No aplica"),3,IF(OR($I33="Completado",$I33="No aplica"),2,1)))))</f>
        <v/>
      </c>
      <c r="Y33" s="29">
        <f>INDEX(Cat_Etapas,$X33)</f>
        <v/>
      </c>
      <c r="Z33" s="30">
        <f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/>
      </c>
      <c r="AA33" s="31">
        <f>IF($X33=6,"",IF(IFERROR(INDEX($I33:$V33,3*$X33-1),0)=0,"",INDEX($I33:$V33,3*$X33-1)))</f>
        <v/>
      </c>
      <c r="AB33" s="24">
        <f>IF($AA33="","",$AA33-TODAY())</f>
        <v/>
      </c>
      <c r="AC33" s="24">
        <f>IF($X33=6,"Cerrado",IF(OR($I33="Bloqueado",$L33="Bloqueado",$O33="Bloqueado",$R33="Bloqueado",$U33="Bloqueado"),"Bloqueado",IF($AA33="","Sin fecha",IF($AB33&lt;0,"Vencido",IF($AB33&lt;=7,"En riesgo","En tiempo")))))</f>
        <v/>
      </c>
      <c r="AD33" s="24" t="inlineStr">
        <is>
          <t>2026-03-19</t>
        </is>
      </c>
      <c r="AE33" s="25" t="n"/>
    </row>
    <row r="34" ht="25.5" customHeight="1">
      <c r="A34" s="24" t="inlineStr">
        <is>
          <t>INV-21</t>
        </is>
      </c>
      <c r="B34" s="24" t="inlineStr">
        <is>
          <t>Inventarios (D2B)</t>
        </is>
      </c>
      <c r="C34" s="24" t="inlineStr">
        <is>
          <t>462</t>
        </is>
      </c>
      <c r="D34" s="25" t="inlineStr">
        <is>
          <t>MX Depósito</t>
        </is>
      </c>
      <c r="E34" s="26" t="inlineStr">
        <is>
          <t>Almacén / Inventarios</t>
        </is>
      </c>
      <c r="F34" s="27" t="inlineStr">
        <is>
          <t>Jesus Ramirez</t>
        </is>
      </c>
      <c r="G34" s="27" t="inlineStr">
        <is>
          <t>Jose Mauricio Caranza</t>
        </is>
      </c>
      <c r="H34" s="24" t="inlineStr">
        <is>
          <t>Alta</t>
        </is>
      </c>
      <c r="I34" s="24" t="inlineStr">
        <is>
          <t>En proceso</t>
        </is>
      </c>
      <c r="J34" s="28" t="n">
        <v>46274</v>
      </c>
      <c r="K34" s="28" t="n"/>
      <c r="L34" s="24" t="inlineStr">
        <is>
          <t>No iniciado</t>
        </is>
      </c>
      <c r="M34" s="28" t="n">
        <v>46275</v>
      </c>
      <c r="N34" s="28" t="n"/>
      <c r="O34" s="24" t="inlineStr">
        <is>
          <t>No iniciado</t>
        </is>
      </c>
      <c r="P34" s="28" t="n">
        <v>46276</v>
      </c>
      <c r="Q34" s="28" t="n"/>
      <c r="R34" s="24" t="inlineStr">
        <is>
          <t>No iniciado</t>
        </is>
      </c>
      <c r="S34" s="28" t="n"/>
      <c r="T34" s="28" t="n"/>
      <c r="U34" s="24" t="inlineStr">
        <is>
          <t>No iniciado</t>
        </is>
      </c>
      <c r="V34" s="28" t="n"/>
      <c r="W34" s="28" t="n"/>
      <c r="X34" s="24">
        <f>IF(OR($U34="Completado",$U34="No aplica"),6,IF(OR($R34="Completado",$R34="No aplica"),5,IF(OR($O34="Completado",$O34="No aplica"),4,IF(OR($L34="Completado",$L34="No aplica"),3,IF(OR($I34="Completado",$I34="No aplica"),2,1)))))</f>
        <v/>
      </c>
      <c r="Y34" s="29">
        <f>INDEX(Cat_Etapas,$X34)</f>
        <v/>
      </c>
      <c r="Z34" s="30">
        <f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/>
      </c>
      <c r="AA34" s="31">
        <f>IF($X34=6,"",IF(IFERROR(INDEX($I34:$V34,3*$X34-1),0)=0,"",INDEX($I34:$V34,3*$X34-1)))</f>
        <v/>
      </c>
      <c r="AB34" s="24">
        <f>IF($AA34="","",$AA34-TODAY())</f>
        <v/>
      </c>
      <c r="AC34" s="24">
        <f>IF($X34=6,"Cerrado",IF(OR($I34="Bloqueado",$L34="Bloqueado",$O34="Bloqueado",$R34="Bloqueado",$U34="Bloqueado"),"Bloqueado",IF($AA34="","Sin fecha",IF($AB34&lt;0,"Vencido",IF($AB34&lt;=7,"En riesgo","En tiempo")))))</f>
        <v/>
      </c>
      <c r="AD34" s="24" t="inlineStr">
        <is>
          <t>2026-03-19</t>
        </is>
      </c>
      <c r="AE34" s="25" t="n"/>
    </row>
    <row r="35" ht="25.5" customHeight="1">
      <c r="A35" s="24" t="inlineStr">
        <is>
          <t>INV-22</t>
        </is>
      </c>
      <c r="B35" s="24" t="inlineStr">
        <is>
          <t>Inventarios (D2B)</t>
        </is>
      </c>
      <c r="C35" s="24" t="inlineStr">
        <is>
          <t>464</t>
        </is>
      </c>
      <c r="D35" s="25" t="inlineStr">
        <is>
          <t>MX Configuración de Ubicación de Artículo</t>
        </is>
      </c>
      <c r="E35" s="26" t="inlineStr">
        <is>
          <t>Almacén / Inventarios</t>
        </is>
      </c>
      <c r="F35" s="27" t="inlineStr">
        <is>
          <t>Jesus Ramirez</t>
        </is>
      </c>
      <c r="G35" s="27" t="inlineStr">
        <is>
          <t>Jose Mauricio Caranza</t>
        </is>
      </c>
      <c r="H35" s="24" t="inlineStr">
        <is>
          <t>Alta</t>
        </is>
      </c>
      <c r="I35" s="24" t="inlineStr">
        <is>
          <t>En proceso</t>
        </is>
      </c>
      <c r="J35" s="28" t="n">
        <v>46274</v>
      </c>
      <c r="K35" s="28" t="n"/>
      <c r="L35" s="24" t="inlineStr">
        <is>
          <t>No iniciado</t>
        </is>
      </c>
      <c r="M35" s="28" t="n">
        <v>46275</v>
      </c>
      <c r="N35" s="28" t="n"/>
      <c r="O35" s="24" t="inlineStr">
        <is>
          <t>No iniciado</t>
        </is>
      </c>
      <c r="P35" s="28" t="n">
        <v>46276</v>
      </c>
      <c r="Q35" s="28" t="n"/>
      <c r="R35" s="24" t="inlineStr">
        <is>
          <t>No iniciado</t>
        </is>
      </c>
      <c r="S35" s="28" t="n"/>
      <c r="T35" s="28" t="n"/>
      <c r="U35" s="24" t="inlineStr">
        <is>
          <t>No iniciado</t>
        </is>
      </c>
      <c r="V35" s="28" t="n"/>
      <c r="W35" s="28" t="n"/>
      <c r="X35" s="24">
        <f>IF(OR($U35="Completado",$U35="No aplica"),6,IF(OR($R35="Completado",$R35="No aplica"),5,IF(OR($O35="Completado",$O35="No aplica"),4,IF(OR($L35="Completado",$L35="No aplica"),3,IF(OR($I35="Completado",$I35="No aplica"),2,1)))))</f>
        <v/>
      </c>
      <c r="Y35" s="29">
        <f>INDEX(Cat_Etapas,$X35)</f>
        <v/>
      </c>
      <c r="Z35" s="30">
        <f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/>
      </c>
      <c r="AA35" s="31">
        <f>IF($X35=6,"",IF(IFERROR(INDEX($I35:$V35,3*$X35-1),0)=0,"",INDEX($I35:$V35,3*$X35-1)))</f>
        <v/>
      </c>
      <c r="AB35" s="24">
        <f>IF($AA35="","",$AA35-TODAY())</f>
        <v/>
      </c>
      <c r="AC35" s="24">
        <f>IF($X35=6,"Cerrado",IF(OR($I35="Bloqueado",$L35="Bloqueado",$O35="Bloqueado",$R35="Bloqueado",$U35="Bloqueado"),"Bloqueado",IF($AA35="","Sin fecha",IF($AB35&lt;0,"Vencido",IF($AB35&lt;=7,"En riesgo","En tiempo")))))</f>
        <v/>
      </c>
      <c r="AD35" s="24" t="inlineStr">
        <is>
          <t>2026-03-19</t>
        </is>
      </c>
      <c r="AE35" s="25" t="n"/>
    </row>
    <row r="36" ht="25.5" customHeight="1">
      <c r="A36" s="24" t="inlineStr">
        <is>
          <t>INV-23</t>
        </is>
      </c>
      <c r="B36" s="24" t="inlineStr">
        <is>
          <t>Inventarios (D2B)</t>
        </is>
      </c>
      <c r="C36" s="24" t="inlineStr">
        <is>
          <t>472</t>
        </is>
      </c>
      <c r="D36" s="25" t="inlineStr">
        <is>
          <t>MX Costo de Revaluación de Inventario</t>
        </is>
      </c>
      <c r="E36" s="26" t="inlineStr">
        <is>
          <t>Almacén / Inventarios</t>
        </is>
      </c>
      <c r="F36" s="27" t="inlineStr">
        <is>
          <t>Jesus Ramirez</t>
        </is>
      </c>
      <c r="G36" s="27" t="inlineStr">
        <is>
          <t>Jose Mauricio Caranza</t>
        </is>
      </c>
      <c r="H36" s="24" t="inlineStr">
        <is>
          <t>Alta</t>
        </is>
      </c>
      <c r="I36" s="24" t="inlineStr">
        <is>
          <t>En proceso</t>
        </is>
      </c>
      <c r="J36" s="28" t="n">
        <v>46274</v>
      </c>
      <c r="K36" s="28" t="n"/>
      <c r="L36" s="24" t="inlineStr">
        <is>
          <t>No iniciado</t>
        </is>
      </c>
      <c r="M36" s="28" t="n">
        <v>46275</v>
      </c>
      <c r="N36" s="28" t="n"/>
      <c r="O36" s="24" t="inlineStr">
        <is>
          <t>No iniciado</t>
        </is>
      </c>
      <c r="P36" s="28" t="n">
        <v>46276</v>
      </c>
      <c r="Q36" s="28" t="n"/>
      <c r="R36" s="24" t="inlineStr">
        <is>
          <t>No iniciado</t>
        </is>
      </c>
      <c r="S36" s="28" t="n"/>
      <c r="T36" s="28" t="n"/>
      <c r="U36" s="24" t="inlineStr">
        <is>
          <t>No iniciado</t>
        </is>
      </c>
      <c r="V36" s="28" t="n"/>
      <c r="W36" s="28" t="n"/>
      <c r="X36" s="24">
        <f>IF(OR($U36="Completado",$U36="No aplica"),6,IF(OR($R36="Completado",$R36="No aplica"),5,IF(OR($O36="Completado",$O36="No aplica"),4,IF(OR($L36="Completado",$L36="No aplica"),3,IF(OR($I36="Completado",$I36="No aplica"),2,1)))))</f>
        <v/>
      </c>
      <c r="Y36" s="29">
        <f>INDEX(Cat_Etapas,$X36)</f>
        <v/>
      </c>
      <c r="Z36" s="30">
        <f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/>
      </c>
      <c r="AA36" s="31">
        <f>IF($X36=6,"",IF(IFERROR(INDEX($I36:$V36,3*$X36-1),0)=0,"",INDEX($I36:$V36,3*$X36-1)))</f>
        <v/>
      </c>
      <c r="AB36" s="24">
        <f>IF($AA36="","",$AA36-TODAY())</f>
        <v/>
      </c>
      <c r="AC36" s="24">
        <f>IF($X36=6,"Cerrado",IF(OR($I36="Bloqueado",$L36="Bloqueado",$O36="Bloqueado",$R36="Bloqueado",$U36="Bloqueado"),"Bloqueado",IF($AA36="","Sin fecha",IF($AB36&lt;0,"Vencido",IF($AB36&lt;=7,"En riesgo","En tiempo")))))</f>
        <v/>
      </c>
      <c r="AD36" s="24" t="inlineStr">
        <is>
          <t>2026-03-19</t>
        </is>
      </c>
      <c r="AE36" s="25" t="n"/>
    </row>
    <row r="37" ht="25.5" customHeight="1">
      <c r="A37" s="24" t="inlineStr">
        <is>
          <t>MFG-01</t>
        </is>
      </c>
      <c r="B37" s="24" t="inlineStr">
        <is>
          <t>Manufactura (MFG)</t>
        </is>
      </c>
      <c r="C37" s="24" t="inlineStr">
        <is>
          <t>410</t>
        </is>
      </c>
      <c r="D37" s="25" t="inlineStr">
        <is>
          <t>MX Artículo de Inventario Manufactura</t>
        </is>
      </c>
      <c r="E37" s="26" t="inlineStr">
        <is>
          <t>Manufactura / Producción</t>
        </is>
      </c>
      <c r="F37" s="27" t="inlineStr">
        <is>
          <t>Alberto Romero</t>
        </is>
      </c>
      <c r="G37" s="27" t="inlineStr">
        <is>
          <t>Jose Mauricio Caranza</t>
        </is>
      </c>
      <c r="H37" s="24" t="inlineStr">
        <is>
          <t>Alta</t>
        </is>
      </c>
      <c r="I37" s="24" t="inlineStr">
        <is>
          <t>En proceso</t>
        </is>
      </c>
      <c r="J37" s="28" t="n">
        <v>46274</v>
      </c>
      <c r="K37" s="28" t="n"/>
      <c r="L37" s="24" t="inlineStr">
        <is>
          <t>No iniciado</t>
        </is>
      </c>
      <c r="M37" s="28" t="n">
        <v>46275</v>
      </c>
      <c r="N37" s="28" t="n"/>
      <c r="O37" s="24" t="inlineStr">
        <is>
          <t>No iniciado</t>
        </is>
      </c>
      <c r="P37" s="28" t="n">
        <v>46276</v>
      </c>
      <c r="Q37" s="28" t="n"/>
      <c r="R37" s="24" t="inlineStr">
        <is>
          <t>No iniciado</t>
        </is>
      </c>
      <c r="S37" s="28" t="n"/>
      <c r="T37" s="28" t="n"/>
      <c r="U37" s="24" t="inlineStr">
        <is>
          <t>No iniciado</t>
        </is>
      </c>
      <c r="V37" s="28" t="n"/>
      <c r="W37" s="28" t="n"/>
      <c r="X37" s="24">
        <f>IF(OR($U37="Completado",$U37="No aplica"),6,IF(OR($R37="Completado",$R37="No aplica"),5,IF(OR($O37="Completado",$O37="No aplica"),4,IF(OR($L37="Completado",$L37="No aplica"),3,IF(OR($I37="Completado",$I37="No aplica"),2,1)))))</f>
        <v/>
      </c>
      <c r="Y37" s="29">
        <f>INDEX(Cat_Etapas,$X37)</f>
        <v/>
      </c>
      <c r="Z37" s="30">
        <f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/>
      </c>
      <c r="AA37" s="31">
        <f>IF($X37=6,"",IF(IFERROR(INDEX($I37:$V37,3*$X37-1),0)=0,"",INDEX($I37:$V37,3*$X37-1)))</f>
        <v/>
      </c>
      <c r="AB37" s="24">
        <f>IF($AA37="","",$AA37-TODAY())</f>
        <v/>
      </c>
      <c r="AC37" s="24">
        <f>IF($X37=6,"Cerrado",IF(OR($I37="Bloqueado",$L37="Bloqueado",$O37="Bloqueado",$R37="Bloqueado",$U37="Bloqueado"),"Bloqueado",IF($AA37="","Sin fecha",IF($AB37&lt;0,"Vencido",IF($AB37&lt;=7,"En riesgo","En tiempo")))))</f>
        <v/>
      </c>
      <c r="AD37" s="24" t="inlineStr">
        <is>
          <t>2026-06-04</t>
        </is>
      </c>
      <c r="AE37" s="25" t="n"/>
    </row>
    <row r="38" ht="25.5" customHeight="1">
      <c r="A38" s="24" t="inlineStr">
        <is>
          <t>MFG-02</t>
        </is>
      </c>
      <c r="B38" s="24" t="inlineStr">
        <is>
          <t>Manufactura (MFG)</t>
        </is>
      </c>
      <c r="C38" s="24" t="inlineStr">
        <is>
          <t>500</t>
        </is>
      </c>
      <c r="D38" s="25" t="inlineStr">
        <is>
          <t>Artículos Otros Cargos para la Compra</t>
        </is>
      </c>
      <c r="E38" s="26" t="inlineStr">
        <is>
          <t>Manufactura / Producción</t>
        </is>
      </c>
      <c r="F38" s="27" t="inlineStr">
        <is>
          <t>Alberto Romero</t>
        </is>
      </c>
      <c r="G38" s="27" t="inlineStr">
        <is>
          <t>Jose Mauricio Caranza</t>
        </is>
      </c>
      <c r="H38" s="24" t="inlineStr">
        <is>
          <t>Alta</t>
        </is>
      </c>
      <c r="I38" s="24" t="inlineStr">
        <is>
          <t>En proceso</t>
        </is>
      </c>
      <c r="J38" s="28" t="n">
        <v>46274</v>
      </c>
      <c r="K38" s="28" t="n"/>
      <c r="L38" s="24" t="inlineStr">
        <is>
          <t>No iniciado</t>
        </is>
      </c>
      <c r="M38" s="28" t="n">
        <v>46275</v>
      </c>
      <c r="N38" s="28" t="n"/>
      <c r="O38" s="24" t="inlineStr">
        <is>
          <t>No iniciado</t>
        </is>
      </c>
      <c r="P38" s="28" t="n">
        <v>46276</v>
      </c>
      <c r="Q38" s="28" t="n"/>
      <c r="R38" s="24" t="inlineStr">
        <is>
          <t>No iniciado</t>
        </is>
      </c>
      <c r="S38" s="28" t="n"/>
      <c r="T38" s="28" t="n"/>
      <c r="U38" s="24" t="inlineStr">
        <is>
          <t>No iniciado</t>
        </is>
      </c>
      <c r="V38" s="28" t="n"/>
      <c r="W38" s="28" t="n"/>
      <c r="X38" s="24">
        <f>IF(OR($U38="Completado",$U38="No aplica"),6,IF(OR($R38="Completado",$R38="No aplica"),5,IF(OR($O38="Completado",$O38="No aplica"),4,IF(OR($L38="Completado",$L38="No aplica"),3,IF(OR($I38="Completado",$I38="No aplica"),2,1)))))</f>
        <v/>
      </c>
      <c r="Y38" s="29">
        <f>INDEX(Cat_Etapas,$X38)</f>
        <v/>
      </c>
      <c r="Z38" s="30">
        <f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/>
      </c>
      <c r="AA38" s="31">
        <f>IF($X38=6,"",IF(IFERROR(INDEX($I38:$V38,3*$X38-1),0)=0,"",INDEX($I38:$V38,3*$X38-1)))</f>
        <v/>
      </c>
      <c r="AB38" s="24">
        <f>IF($AA38="","",$AA38-TODAY())</f>
        <v/>
      </c>
      <c r="AC38" s="24">
        <f>IF($X38=6,"Cerrado",IF(OR($I38="Bloqueado",$L38="Bloqueado",$O38="Bloqueado",$R38="Bloqueado",$U38="Bloqueado"),"Bloqueado",IF($AA38="","Sin fecha",IF($AB38&lt;0,"Vencido",IF($AB38&lt;=7,"En riesgo","En tiempo")))))</f>
        <v/>
      </c>
      <c r="AD38" s="24" t="inlineStr">
        <is>
          <t>2026-05-19</t>
        </is>
      </c>
      <c r="AE38" s="25" t="n"/>
    </row>
    <row r="39" ht="25.5" customHeight="1">
      <c r="A39" s="24" t="inlineStr">
        <is>
          <t>MFG-03</t>
        </is>
      </c>
      <c r="B39" s="24" t="inlineStr">
        <is>
          <t>Manufactura (MFG)</t>
        </is>
      </c>
      <c r="C39" s="24" t="inlineStr">
        <is>
          <t>510</t>
        </is>
      </c>
      <c r="D39" s="25" t="inlineStr">
        <is>
          <t>Listas de Materiales</t>
        </is>
      </c>
      <c r="E39" s="26" t="inlineStr">
        <is>
          <t>Manufactura / Producción</t>
        </is>
      </c>
      <c r="F39" s="27" t="inlineStr">
        <is>
          <t>Alberto Romero</t>
        </is>
      </c>
      <c r="G39" s="27" t="inlineStr">
        <is>
          <t>Jose Mauricio Caranza</t>
        </is>
      </c>
      <c r="H39" s="24" t="inlineStr">
        <is>
          <t>Alta</t>
        </is>
      </c>
      <c r="I39" s="24" t="inlineStr">
        <is>
          <t>En proceso</t>
        </is>
      </c>
      <c r="J39" s="28" t="n">
        <v>46274</v>
      </c>
      <c r="K39" s="28" t="n"/>
      <c r="L39" s="24" t="inlineStr">
        <is>
          <t>No iniciado</t>
        </is>
      </c>
      <c r="M39" s="28" t="n">
        <v>46275</v>
      </c>
      <c r="N39" s="28" t="n"/>
      <c r="O39" s="24" t="inlineStr">
        <is>
          <t>No iniciado</t>
        </is>
      </c>
      <c r="P39" s="28" t="n">
        <v>46276</v>
      </c>
      <c r="Q39" s="28" t="n"/>
      <c r="R39" s="24" t="inlineStr">
        <is>
          <t>No iniciado</t>
        </is>
      </c>
      <c r="S39" s="28" t="n"/>
      <c r="T39" s="28" t="n"/>
      <c r="U39" s="24" t="inlineStr">
        <is>
          <t>No iniciado</t>
        </is>
      </c>
      <c r="V39" s="28" t="n"/>
      <c r="W39" s="28" t="n"/>
      <c r="X39" s="24">
        <f>IF(OR($U39="Completado",$U39="No aplica"),6,IF(OR($R39="Completado",$R39="No aplica"),5,IF(OR($O39="Completado",$O39="No aplica"),4,IF(OR($L39="Completado",$L39="No aplica"),3,IF(OR($I39="Completado",$I39="No aplica"),2,1)))))</f>
        <v/>
      </c>
      <c r="Y39" s="29">
        <f>INDEX(Cat_Etapas,$X39)</f>
        <v/>
      </c>
      <c r="Z39" s="30">
        <f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/>
      </c>
      <c r="AA39" s="31">
        <f>IF($X39=6,"",IF(IFERROR(INDEX($I39:$V39,3*$X39-1),0)=0,"",INDEX($I39:$V39,3*$X39-1)))</f>
        <v/>
      </c>
      <c r="AB39" s="24">
        <f>IF($AA39="","",$AA39-TODAY())</f>
        <v/>
      </c>
      <c r="AC39" s="24">
        <f>IF($X39=6,"Cerrado",IF(OR($I39="Bloqueado",$L39="Bloqueado",$O39="Bloqueado",$R39="Bloqueado",$U39="Bloqueado"),"Bloqueado",IF($AA39="","Sin fecha",IF($AB39&lt;0,"Vencido",IF($AB39&lt;=7,"En riesgo","En tiempo")))))</f>
        <v/>
      </c>
      <c r="AD39" s="24" t="inlineStr">
        <is>
          <t>2026-06-05</t>
        </is>
      </c>
      <c r="AE39" s="25" t="n"/>
    </row>
    <row r="40" ht="25.5" customHeight="1">
      <c r="A40" s="24" t="inlineStr">
        <is>
          <t>MFG-04</t>
        </is>
      </c>
      <c r="B40" s="24" t="inlineStr">
        <is>
          <t>Manufactura (MFG)</t>
        </is>
      </c>
      <c r="C40" s="24" t="inlineStr">
        <is>
          <t>520</t>
        </is>
      </c>
      <c r="D40" s="25" t="inlineStr">
        <is>
          <t>Revisión de Listas de Materiales Estándar</t>
        </is>
      </c>
      <c r="E40" s="26" t="inlineStr">
        <is>
          <t>Manufactura / Producción</t>
        </is>
      </c>
      <c r="F40" s="27" t="inlineStr">
        <is>
          <t>Alberto Romero</t>
        </is>
      </c>
      <c r="G40" s="27" t="inlineStr">
        <is>
          <t>Jose Mauricio Caranza</t>
        </is>
      </c>
      <c r="H40" s="24" t="inlineStr">
        <is>
          <t>Alta</t>
        </is>
      </c>
      <c r="I40" s="24" t="inlineStr">
        <is>
          <t>En proceso</t>
        </is>
      </c>
      <c r="J40" s="28" t="n">
        <v>46274</v>
      </c>
      <c r="K40" s="28" t="n"/>
      <c r="L40" s="24" t="inlineStr">
        <is>
          <t>No iniciado</t>
        </is>
      </c>
      <c r="M40" s="28" t="n">
        <v>46275</v>
      </c>
      <c r="N40" s="28" t="n"/>
      <c r="O40" s="24" t="inlineStr">
        <is>
          <t>No iniciado</t>
        </is>
      </c>
      <c r="P40" s="28" t="n">
        <v>46276</v>
      </c>
      <c r="Q40" s="28" t="n"/>
      <c r="R40" s="24" t="inlineStr">
        <is>
          <t>No iniciado</t>
        </is>
      </c>
      <c r="S40" s="28" t="n"/>
      <c r="T40" s="28" t="n"/>
      <c r="U40" s="24" t="inlineStr">
        <is>
          <t>No iniciado</t>
        </is>
      </c>
      <c r="V40" s="28" t="n"/>
      <c r="W40" s="28" t="n"/>
      <c r="X40" s="24">
        <f>IF(OR($U40="Completado",$U40="No aplica"),6,IF(OR($R40="Completado",$R40="No aplica"),5,IF(OR($O40="Completado",$O40="No aplica"),4,IF(OR($L40="Completado",$L40="No aplica"),3,IF(OR($I40="Completado",$I40="No aplica"),2,1)))))</f>
        <v/>
      </c>
      <c r="Y40" s="29">
        <f>INDEX(Cat_Etapas,$X40)</f>
        <v/>
      </c>
      <c r="Z40" s="30">
        <f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/>
      </c>
      <c r="AA40" s="31">
        <f>IF($X40=6,"",IF(IFERROR(INDEX($I40:$V40,3*$X40-1),0)=0,"",INDEX($I40:$V40,3*$X40-1)))</f>
        <v/>
      </c>
      <c r="AB40" s="24">
        <f>IF($AA40="","",$AA40-TODAY())</f>
        <v/>
      </c>
      <c r="AC40" s="24">
        <f>IF($X40=6,"Cerrado",IF(OR($I40="Bloqueado",$L40="Bloqueado",$O40="Bloqueado",$R40="Bloqueado",$U40="Bloqueado"),"Bloqueado",IF($AA40="","Sin fecha",IF($AB40&lt;0,"Vencido",IF($AB40&lt;=7,"En riesgo","En tiempo")))))</f>
        <v/>
      </c>
      <c r="AD40" s="24" t="inlineStr">
        <is>
          <t>2026-04-02</t>
        </is>
      </c>
      <c r="AE40" s="25" t="n"/>
    </row>
    <row r="41" ht="25.5" customHeight="1">
      <c r="A41" s="24" t="inlineStr">
        <is>
          <t>MFG-05</t>
        </is>
      </c>
      <c r="B41" s="24" t="inlineStr">
        <is>
          <t>Manufactura (MFG)</t>
        </is>
      </c>
      <c r="C41" s="24" t="inlineStr">
        <is>
          <t>530</t>
        </is>
      </c>
      <c r="D41" s="25" t="inlineStr">
        <is>
          <t>Artículos de Ensamble Lotizados</t>
        </is>
      </c>
      <c r="E41" s="26" t="inlineStr">
        <is>
          <t>Manufactura / Producción</t>
        </is>
      </c>
      <c r="F41" s="27" t="inlineStr">
        <is>
          <t>Alberto Romero</t>
        </is>
      </c>
      <c r="G41" s="27" t="inlineStr">
        <is>
          <t>Jose Mauricio Caranza</t>
        </is>
      </c>
      <c r="H41" s="24" t="inlineStr">
        <is>
          <t>Alta</t>
        </is>
      </c>
      <c r="I41" s="24" t="inlineStr">
        <is>
          <t>En proceso</t>
        </is>
      </c>
      <c r="J41" s="28" t="n">
        <v>46274</v>
      </c>
      <c r="K41" s="28" t="n"/>
      <c r="L41" s="24" t="inlineStr">
        <is>
          <t>No iniciado</t>
        </is>
      </c>
      <c r="M41" s="28" t="n">
        <v>46275</v>
      </c>
      <c r="N41" s="28" t="n"/>
      <c r="O41" s="24" t="inlineStr">
        <is>
          <t>No iniciado</t>
        </is>
      </c>
      <c r="P41" s="28" t="n">
        <v>46276</v>
      </c>
      <c r="Q41" s="28" t="n"/>
      <c r="R41" s="24" t="inlineStr">
        <is>
          <t>No iniciado</t>
        </is>
      </c>
      <c r="S41" s="28" t="n"/>
      <c r="T41" s="28" t="n"/>
      <c r="U41" s="24" t="inlineStr">
        <is>
          <t>No iniciado</t>
        </is>
      </c>
      <c r="V41" s="28" t="n"/>
      <c r="W41" s="28" t="n"/>
      <c r="X41" s="24">
        <f>IF(OR($U41="Completado",$U41="No aplica"),6,IF(OR($R41="Completado",$R41="No aplica"),5,IF(OR($O41="Completado",$O41="No aplica"),4,IF(OR($L41="Completado",$L41="No aplica"),3,IF(OR($I41="Completado",$I41="No aplica"),2,1)))))</f>
        <v/>
      </c>
      <c r="Y41" s="29">
        <f>INDEX(Cat_Etapas,$X41)</f>
        <v/>
      </c>
      <c r="Z41" s="30">
        <f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/>
      </c>
      <c r="AA41" s="31">
        <f>IF($X41=6,"",IF(IFERROR(INDEX($I41:$V41,3*$X41-1),0)=0,"",INDEX($I41:$V41,3*$X41-1)))</f>
        <v/>
      </c>
      <c r="AB41" s="24">
        <f>IF($AA41="","",$AA41-TODAY())</f>
        <v/>
      </c>
      <c r="AC41" s="24">
        <f>IF($X41=6,"Cerrado",IF(OR($I41="Bloqueado",$L41="Bloqueado",$O41="Bloqueado",$R41="Bloqueado",$U41="Bloqueado"),"Bloqueado",IF($AA41="","Sin fecha",IF($AB41&lt;0,"Vencido",IF($AB41&lt;=7,"En riesgo","En tiempo")))))</f>
        <v/>
      </c>
      <c r="AD41" s="24" t="inlineStr">
        <is>
          <t>2026-04-02</t>
        </is>
      </c>
      <c r="AE41" s="25" t="n"/>
    </row>
    <row r="42" ht="25.5" customHeight="1">
      <c r="A42" s="24" t="inlineStr">
        <is>
          <t>MFG-06</t>
        </is>
      </c>
      <c r="B42" s="24" t="inlineStr">
        <is>
          <t>Manufactura (MFG)</t>
        </is>
      </c>
      <c r="C42" s="24" t="inlineStr">
        <is>
          <t>540</t>
        </is>
      </c>
      <c r="D42" s="25" t="inlineStr">
        <is>
          <t>Artículos de Ensamble</t>
        </is>
      </c>
      <c r="E42" s="26" t="inlineStr">
        <is>
          <t>Manufactura / Producción</t>
        </is>
      </c>
      <c r="F42" s="27" t="inlineStr">
        <is>
          <t>Alberto Romero</t>
        </is>
      </c>
      <c r="G42" s="27" t="inlineStr">
        <is>
          <t>Jose Mauricio Caranza</t>
        </is>
      </c>
      <c r="H42" s="24" t="inlineStr">
        <is>
          <t>Alta</t>
        </is>
      </c>
      <c r="I42" s="24" t="inlineStr">
        <is>
          <t>En proceso</t>
        </is>
      </c>
      <c r="J42" s="28" t="n">
        <v>46274</v>
      </c>
      <c r="K42" s="28" t="n"/>
      <c r="L42" s="24" t="inlineStr">
        <is>
          <t>No iniciado</t>
        </is>
      </c>
      <c r="M42" s="28" t="n">
        <v>46275</v>
      </c>
      <c r="N42" s="28" t="n"/>
      <c r="O42" s="24" t="inlineStr">
        <is>
          <t>No iniciado</t>
        </is>
      </c>
      <c r="P42" s="28" t="n">
        <v>46276</v>
      </c>
      <c r="Q42" s="28" t="n"/>
      <c r="R42" s="24" t="inlineStr">
        <is>
          <t>No iniciado</t>
        </is>
      </c>
      <c r="S42" s="28" t="n"/>
      <c r="T42" s="28" t="n"/>
      <c r="U42" s="24" t="inlineStr">
        <is>
          <t>No iniciado</t>
        </is>
      </c>
      <c r="V42" s="28" t="n"/>
      <c r="W42" s="28" t="n"/>
      <c r="X42" s="24">
        <f>IF(OR($U42="Completado",$U42="No aplica"),6,IF(OR($R42="Completado",$R42="No aplica"),5,IF(OR($O42="Completado",$O42="No aplica"),4,IF(OR($L42="Completado",$L42="No aplica"),3,IF(OR($I42="Completado",$I42="No aplica"),2,1)))))</f>
        <v/>
      </c>
      <c r="Y42" s="29">
        <f>INDEX(Cat_Etapas,$X42)</f>
        <v/>
      </c>
      <c r="Z42" s="30">
        <f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/>
      </c>
      <c r="AA42" s="31">
        <f>IF($X42=6,"",IF(IFERROR(INDEX($I42:$V42,3*$X42-1),0)=0,"",INDEX($I42:$V42,3*$X42-1)))</f>
        <v/>
      </c>
      <c r="AB42" s="24">
        <f>IF($AA42="","",$AA42-TODAY())</f>
        <v/>
      </c>
      <c r="AC42" s="24">
        <f>IF($X42=6,"Cerrado",IF(OR($I42="Bloqueado",$L42="Bloqueado",$O42="Bloqueado",$R42="Bloqueado",$U42="Bloqueado"),"Bloqueado",IF($AA42="","Sin fecha",IF($AB42&lt;0,"Vencido",IF($AB42&lt;=7,"En riesgo","En tiempo")))))</f>
        <v/>
      </c>
      <c r="AD42" s="24" t="inlineStr">
        <is>
          <t>2026-04-02</t>
        </is>
      </c>
      <c r="AE42" s="25" t="n"/>
    </row>
    <row r="43" ht="25.5" customHeight="1">
      <c r="A43" s="24" t="inlineStr">
        <is>
          <t>ACF-01</t>
        </is>
      </c>
      <c r="B43" s="24" t="inlineStr">
        <is>
          <t>Activos Fijos (FA)</t>
        </is>
      </c>
      <c r="C43" s="24" t="inlineStr">
        <is>
          <t>600</t>
        </is>
      </c>
      <c r="D43" s="25" t="inlineStr">
        <is>
          <t>Tipos de Activo Fijo</t>
        </is>
      </c>
      <c r="E43" s="26" t="inlineStr">
        <is>
          <t>Activos Fijos / Patrimonio</t>
        </is>
      </c>
      <c r="F43" s="27" t="n"/>
      <c r="G43" s="27" t="n"/>
      <c r="H43" s="24" t="inlineStr">
        <is>
          <t>Alta</t>
        </is>
      </c>
      <c r="I43" s="24" t="inlineStr">
        <is>
          <t>No iniciado</t>
        </is>
      </c>
      <c r="J43" s="28" t="n"/>
      <c r="K43" s="28" t="n"/>
      <c r="L43" s="24" t="inlineStr">
        <is>
          <t>No iniciado</t>
        </is>
      </c>
      <c r="M43" s="28" t="n"/>
      <c r="N43" s="28" t="n"/>
      <c r="O43" s="24" t="inlineStr">
        <is>
          <t>No iniciado</t>
        </is>
      </c>
      <c r="P43" s="28" t="n"/>
      <c r="Q43" s="28" t="n"/>
      <c r="R43" s="24" t="inlineStr">
        <is>
          <t>No iniciado</t>
        </is>
      </c>
      <c r="S43" s="28" t="n"/>
      <c r="T43" s="28" t="n"/>
      <c r="U43" s="24" t="inlineStr">
        <is>
          <t>No iniciado</t>
        </is>
      </c>
      <c r="V43" s="28" t="n"/>
      <c r="W43" s="28" t="n"/>
      <c r="X43" s="24">
        <f>IF(OR($U43="Completado",$U43="No aplica"),6,IF(OR($R43="Completado",$R43="No aplica"),5,IF(OR($O43="Completado",$O43="No aplica"),4,IF(OR($L43="Completado",$L43="No aplica"),3,IF(OR($I43="Completado",$I43="No aplica"),2,1)))))</f>
        <v/>
      </c>
      <c r="Y43" s="29">
        <f>INDEX(Cat_Etapas,$X43)</f>
        <v/>
      </c>
      <c r="Z43" s="30">
        <f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/>
      </c>
      <c r="AA43" s="31">
        <f>IF($X43=6,"",IF(IFERROR(INDEX($I43:$V43,3*$X43-1),0)=0,"",INDEX($I43:$V43,3*$X43-1)))</f>
        <v/>
      </c>
      <c r="AB43" s="24">
        <f>IF($AA43="","",$AA43-TODAY())</f>
        <v/>
      </c>
      <c r="AC43" s="24">
        <f>IF($X43=6,"Cerrado",IF(OR($I43="Bloqueado",$L43="Bloqueado",$O43="Bloqueado",$R43="Bloqueado",$U43="Bloqueado"),"Bloqueado",IF($AA43="","Sin fecha",IF($AB43&lt;0,"Vencido",IF($AB43&lt;=7,"En riesgo","En tiempo")))))</f>
        <v/>
      </c>
      <c r="AD43" s="24" t="n"/>
      <c r="AE43" s="25" t="inlineStr">
        <is>
          <t>Solo 1 de las 3 plantillas está en el Drive (Plantilla.Activos.fijos.xlsx, 31/08/2026); faltan 2 por generar. Sin Key User asignado.</t>
        </is>
      </c>
    </row>
    <row r="44" ht="25.5" customHeight="1">
      <c r="A44" s="24" t="inlineStr">
        <is>
          <t>ACF-02</t>
        </is>
      </c>
      <c r="B44" s="24" t="inlineStr">
        <is>
          <t>Activos Fijos (FA)</t>
        </is>
      </c>
      <c r="C44" s="24" t="inlineStr">
        <is>
          <t>610</t>
        </is>
      </c>
      <c r="D44" s="25" t="inlineStr">
        <is>
          <t>Alta de Activos Fijos</t>
        </is>
      </c>
      <c r="E44" s="26" t="inlineStr">
        <is>
          <t>Activos Fijos / Patrimonio</t>
        </is>
      </c>
      <c r="F44" s="27" t="n"/>
      <c r="G44" s="27" t="n"/>
      <c r="H44" s="24" t="inlineStr">
        <is>
          <t>Alta</t>
        </is>
      </c>
      <c r="I44" s="24" t="inlineStr">
        <is>
          <t>No iniciado</t>
        </is>
      </c>
      <c r="J44" s="28" t="n"/>
      <c r="K44" s="28" t="n"/>
      <c r="L44" s="24" t="inlineStr">
        <is>
          <t>No iniciado</t>
        </is>
      </c>
      <c r="M44" s="28" t="n"/>
      <c r="N44" s="28" t="n"/>
      <c r="O44" s="24" t="inlineStr">
        <is>
          <t>No iniciado</t>
        </is>
      </c>
      <c r="P44" s="28" t="n"/>
      <c r="Q44" s="28" t="n"/>
      <c r="R44" s="24" t="inlineStr">
        <is>
          <t>No iniciado</t>
        </is>
      </c>
      <c r="S44" s="28" t="n"/>
      <c r="T44" s="28" t="n"/>
      <c r="U44" s="24" t="inlineStr">
        <is>
          <t>No iniciado</t>
        </is>
      </c>
      <c r="V44" s="28" t="n"/>
      <c r="W44" s="28" t="n"/>
      <c r="X44" s="24">
        <f>IF(OR($U44="Completado",$U44="No aplica"),6,IF(OR($R44="Completado",$R44="No aplica"),5,IF(OR($O44="Completado",$O44="No aplica"),4,IF(OR($L44="Completado",$L44="No aplica"),3,IF(OR($I44="Completado",$I44="No aplica"),2,1)))))</f>
        <v/>
      </c>
      <c r="Y44" s="29">
        <f>INDEX(Cat_Etapas,$X44)</f>
        <v/>
      </c>
      <c r="Z44" s="30">
        <f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/>
      </c>
      <c r="AA44" s="31">
        <f>IF($X44=6,"",IF(IFERROR(INDEX($I44:$V44,3*$X44-1),0)=0,"",INDEX($I44:$V44,3*$X44-1)))</f>
        <v/>
      </c>
      <c r="AB44" s="24">
        <f>IF($AA44="","",$AA44-TODAY())</f>
        <v/>
      </c>
      <c r="AC44" s="24">
        <f>IF($X44=6,"Cerrado",IF(OR($I44="Bloqueado",$L44="Bloqueado",$O44="Bloqueado",$R44="Bloqueado",$U44="Bloqueado"),"Bloqueado",IF($AA44="","Sin fecha",IF($AB44&lt;0,"Vencido",IF($AB44&lt;=7,"En riesgo","En tiempo")))))</f>
        <v/>
      </c>
      <c r="AD44" s="24" t="n"/>
      <c r="AE44" s="25" t="inlineStr">
        <is>
          <t>Solo 1 de las 3 plantillas está en el Drive (Plantilla.Activos.fijos.xlsx, 31/08/2026); faltan 2 por generar. Sin Key User asignado.</t>
        </is>
      </c>
    </row>
    <row r="45" ht="25.5" customHeight="1">
      <c r="A45" s="24" t="inlineStr">
        <is>
          <t>ACF-03</t>
        </is>
      </c>
      <c r="B45" s="24" t="inlineStr">
        <is>
          <t>Activos Fijos (FA)</t>
        </is>
      </c>
      <c r="C45" s="24" t="inlineStr">
        <is>
          <t>620</t>
        </is>
      </c>
      <c r="D45" s="25" t="inlineStr">
        <is>
          <t>Métodos y Reglas de Depreciación</t>
        </is>
      </c>
      <c r="E45" s="26" t="inlineStr">
        <is>
          <t>Activos Fijos / Patrimonio</t>
        </is>
      </c>
      <c r="F45" s="27" t="n"/>
      <c r="G45" s="27" t="n"/>
      <c r="H45" s="24" t="inlineStr">
        <is>
          <t>Alta</t>
        </is>
      </c>
      <c r="I45" s="24" t="inlineStr">
        <is>
          <t>No iniciado</t>
        </is>
      </c>
      <c r="J45" s="28" t="n"/>
      <c r="K45" s="28" t="n"/>
      <c r="L45" s="24" t="inlineStr">
        <is>
          <t>No iniciado</t>
        </is>
      </c>
      <c r="M45" s="28" t="n"/>
      <c r="N45" s="28" t="n"/>
      <c r="O45" s="24" t="inlineStr">
        <is>
          <t>No iniciado</t>
        </is>
      </c>
      <c r="P45" s="28" t="n"/>
      <c r="Q45" s="28" t="n"/>
      <c r="R45" s="24" t="inlineStr">
        <is>
          <t>No iniciado</t>
        </is>
      </c>
      <c r="S45" s="28" t="n"/>
      <c r="T45" s="28" t="n"/>
      <c r="U45" s="24" t="inlineStr">
        <is>
          <t>No iniciado</t>
        </is>
      </c>
      <c r="V45" s="28" t="n"/>
      <c r="W45" s="28" t="n"/>
      <c r="X45" s="24">
        <f>IF(OR($U45="Completado",$U45="No aplica"),6,IF(OR($R45="Completado",$R45="No aplica"),5,IF(OR($O45="Completado",$O45="No aplica"),4,IF(OR($L45="Completado",$L45="No aplica"),3,IF(OR($I45="Completado",$I45="No aplica"),2,1)))))</f>
        <v/>
      </c>
      <c r="Y45" s="29">
        <f>INDEX(Cat_Etapas,$X45)</f>
        <v/>
      </c>
      <c r="Z45" s="30">
        <f>ROUND(Catalogos!$L$3*IFERROR(INDEX(Cat_Factor,MATCH($I45,Cat_Estatus,0)),0)+Catalogos!$L$4*IFERROR(INDEX(Cat_Factor,MATCH($L45,Cat_Estatus,0)),0)+Catalogos!$L$5*IFERROR(INDEX(Cat_Factor,MATCH($O45,Cat_Estatus,0)),0)+Catalogos!$L$6*IFERROR(INDEX(Cat_Factor,MATCH($R45,Cat_Estatus,0)),0)+Catalogos!$L$7*IFERROR(INDEX(Cat_Factor,MATCH($U45,Cat_Estatus,0)),0),4)</f>
        <v/>
      </c>
      <c r="AA45" s="31">
        <f>IF($X45=6,"",IF(IFERROR(INDEX($I45:$V45,3*$X45-1),0)=0,"",INDEX($I45:$V45,3*$X45-1)))</f>
        <v/>
      </c>
      <c r="AB45" s="24">
        <f>IF($AA45="","",$AA45-TODAY())</f>
        <v/>
      </c>
      <c r="AC45" s="24">
        <f>IF($X45=6,"Cerrado",IF(OR($I45="Bloqueado",$L45="Bloqueado",$O45="Bloqueado",$R45="Bloqueado",$U45="Bloqueado"),"Bloqueado",IF($AA45="","Sin fecha",IF($AB45&lt;0,"Vencido",IF($AB45&lt;=7,"En riesgo","En tiempo")))))</f>
        <v/>
      </c>
      <c r="AD45" s="24" t="n"/>
      <c r="AE45" s="25" t="inlineStr">
        <is>
          <t>Solo 1 de las 3 plantillas está en el Drive (Plantilla.Activos.fijos.xlsx, 31/08/2026); faltan 2 por generar. Sin Key User asignado.</t>
        </is>
      </c>
    </row>
    <row r="46" ht="25.5" customHeight="1">
      <c r="A46" s="24" t="inlineStr">
        <is>
          <t>FIN-06</t>
        </is>
      </c>
      <c r="B46" s="24" t="inlineStr">
        <is>
          <t>Finanzas (R2R)</t>
        </is>
      </c>
      <c r="C46" s="24" t="inlineStr">
        <is>
          <t>—</t>
        </is>
      </c>
      <c r="D46" s="25" t="inlineStr">
        <is>
          <t>ESTEVEZ - Impuestos y Retenciones MX</t>
        </is>
      </c>
      <c r="E46" s="26" t="inlineStr">
        <is>
          <t>Finanzas / Contabilidad</t>
        </is>
      </c>
      <c r="F46" s="27" t="inlineStr">
        <is>
          <t>Angelica Ramirez</t>
        </is>
      </c>
      <c r="G46" s="27" t="inlineStr">
        <is>
          <t>Brandon / Maria Fernanda</t>
        </is>
      </c>
      <c r="H46" s="24" t="inlineStr">
        <is>
          <t>Alta</t>
        </is>
      </c>
      <c r="I46" s="24" t="inlineStr">
        <is>
          <t>En proceso</t>
        </is>
      </c>
      <c r="J46" s="28" t="n"/>
      <c r="K46" s="28" t="n"/>
      <c r="L46" s="24" t="inlineStr">
        <is>
          <t>No iniciado</t>
        </is>
      </c>
      <c r="M46" s="28" t="n"/>
      <c r="N46" s="28" t="n"/>
      <c r="O46" s="24" t="inlineStr">
        <is>
          <t>No iniciado</t>
        </is>
      </c>
      <c r="P46" s="28" t="n"/>
      <c r="Q46" s="28" t="n"/>
      <c r="R46" s="24" t="inlineStr">
        <is>
          <t>No iniciado</t>
        </is>
      </c>
      <c r="S46" s="28" t="n"/>
      <c r="T46" s="28" t="n"/>
      <c r="U46" s="24" t="inlineStr">
        <is>
          <t>No iniciado</t>
        </is>
      </c>
      <c r="V46" s="28" t="n"/>
      <c r="W46" s="28" t="n"/>
      <c r="X46" s="24">
        <f>IF(OR($U46="Completado",$U46="No aplica"),6,IF(OR($R46="Completado",$R46="No aplica"),5,IF(OR($O46="Completado",$O46="No aplica"),4,IF(OR($L46="Completado",$L46="No aplica"),3,IF(OR($I46="Completado",$I46="No aplica"),2,1)))))</f>
        <v/>
      </c>
      <c r="Y46" s="29">
        <f>INDEX(Cat_Etapas,$X46)</f>
        <v/>
      </c>
      <c r="Z46" s="30">
        <f>ROUND(Catalogos!$L$3*IFERROR(INDEX(Cat_Factor,MATCH($I46,Cat_Estatus,0)),0)+Catalogos!$L$4*IFERROR(INDEX(Cat_Factor,MATCH($L46,Cat_Estatus,0)),0)+Catalogos!$L$5*IFERROR(INDEX(Cat_Factor,MATCH($O46,Cat_Estatus,0)),0)+Catalogos!$L$6*IFERROR(INDEX(Cat_Factor,MATCH($R46,Cat_Estatus,0)),0)+Catalogos!$L$7*IFERROR(INDEX(Cat_Factor,MATCH($U46,Cat_Estatus,0)),0),4)</f>
        <v/>
      </c>
      <c r="AA46" s="31">
        <f>IF($X46=6,"",IF(IFERROR(INDEX($I46:$V46,3*$X46-1),0)=0,"",INDEX($I46:$V46,3*$X46-1)))</f>
        <v/>
      </c>
      <c r="AB46" s="24">
        <f>IF($AA46="","",$AA46-TODAY())</f>
        <v/>
      </c>
      <c r="AC46" s="24">
        <f>IF($X46=6,"Cerrado",IF(OR($I46="Bloqueado",$L46="Bloqueado",$O46="Bloqueado",$R46="Bloqueado",$U46="Bloqueado"),"Bloqueado",IF($AA46="","Sin fecha",IF($AB46&lt;0,"Vencido",IF($AB46&lt;=7,"En riesgo","En tiempo")))))</f>
        <v/>
      </c>
      <c r="AD46" s="43" t="n">
        <v>46270</v>
      </c>
      <c r="AE46" s="25" t="inlineStr">
        <is>
          <t>Identificada en el Drive del proyecto (08_ESTEVEZ - Impuestos y Retenciones MX, últ. modificación 05/09/2026). Falta acordar fecha compromiso.</t>
        </is>
      </c>
    </row>
  </sheetData>
  <autoFilter ref="A3:AE45"/>
  <mergeCells count="8">
    <mergeCell ref="U2:W2"/>
    <mergeCell ref="I2:K2"/>
    <mergeCell ref="R2:T2"/>
    <mergeCell ref="A2:H2"/>
    <mergeCell ref="A1:AE1"/>
    <mergeCell ref="X2:AE2"/>
    <mergeCell ref="L2:N2"/>
    <mergeCell ref="O2:Q2"/>
  </mergeCells>
  <conditionalFormatting sqref="I4:I60">
    <cfRule type="cellIs" priority="2" operator="equal" dxfId="4">
      <formula>"Completado"</formula>
    </cfRule>
    <cfRule type="cellIs" priority="3" operator="equal" dxfId="3">
      <formula>"En proceso"</formula>
    </cfRule>
    <cfRule type="cellIs" priority="4" operator="equal" dxfId="1">
      <formula>"Bloqueado"</formula>
    </cfRule>
    <cfRule type="cellIs" priority="5" operator="equal" dxfId="7">
      <formula>"No aplica"</formula>
    </cfRule>
  </conditionalFormatting>
  <conditionalFormatting sqref="L4:L60">
    <cfRule type="cellIs" priority="6" operator="equal" dxfId="4">
      <formula>"Completado"</formula>
    </cfRule>
    <cfRule type="cellIs" priority="7" operator="equal" dxfId="3">
      <formula>"En proceso"</formula>
    </cfRule>
    <cfRule type="cellIs" priority="8" operator="equal" dxfId="1">
      <formula>"Bloqueado"</formula>
    </cfRule>
    <cfRule type="cellIs" priority="9" operator="equal" dxfId="7">
      <formula>"No aplica"</formula>
    </cfRule>
  </conditionalFormatting>
  <conditionalFormatting sqref="O4:O60">
    <cfRule type="cellIs" priority="10" operator="equal" dxfId="4">
      <formula>"Completado"</formula>
    </cfRule>
    <cfRule type="cellIs" priority="11" operator="equal" dxfId="3">
      <formula>"En proceso"</formula>
    </cfRule>
    <cfRule type="cellIs" priority="12" operator="equal" dxfId="1">
      <formula>"Bloqueado"</formula>
    </cfRule>
    <cfRule type="cellIs" priority="13" operator="equal" dxfId="7">
      <formula>"No aplica"</formula>
    </cfRule>
  </conditionalFormatting>
  <conditionalFormatting sqref="R4:R60">
    <cfRule type="cellIs" priority="15" operator="equal" dxfId="3">
      <formula>"En proceso"</formula>
    </cfRule>
    <cfRule type="cellIs" priority="14" operator="equal" dxfId="4">
      <formula>"Completado"</formula>
    </cfRule>
    <cfRule type="cellIs" priority="16" operator="equal" dxfId="1">
      <formula>"Bloqueado"</formula>
    </cfRule>
    <cfRule type="cellIs" priority="17" operator="equal" dxfId="7">
      <formula>"No aplica"</formula>
    </cfRule>
  </conditionalFormatting>
  <conditionalFormatting sqref="U4:U60">
    <cfRule type="cellIs" priority="18" operator="equal" dxfId="4">
      <formula>"Completado"</formula>
    </cfRule>
    <cfRule type="cellIs" priority="19" operator="equal" dxfId="3">
      <formula>"En proceso"</formula>
    </cfRule>
    <cfRule type="cellIs" priority="20" operator="equal" dxfId="1">
      <formula>"Bloqueado"</formula>
    </cfRule>
    <cfRule type="cellIs" priority="21" operator="equal" dxfId="7">
      <formula>"No aplica"</formula>
    </cfRule>
  </conditionalFormatting>
  <conditionalFormatting sqref="AB4:AB60">
    <cfRule type="cellIs" priority="28" operator="lessThan" dxfId="6">
      <formula>0</formula>
    </cfRule>
  </conditionalFormatting>
  <conditionalFormatting sqref="AC4:AC60">
    <cfRule type="cellIs" priority="22" operator="equal" dxfId="5">
      <formula>"Cerrado"</formula>
    </cfRule>
    <cfRule type="cellIs" priority="23" operator="equal" dxfId="4">
      <formula>"En tiempo"</formula>
    </cfRule>
    <cfRule type="cellIs" priority="24" operator="equal" dxfId="3">
      <formula>"En riesgo"</formula>
    </cfRule>
    <cfRule type="cellIs" priority="25" operator="equal" dxfId="1">
      <formula>"Vencido"</formula>
    </cfRule>
    <cfRule type="cellIs" priority="26" operator="equal" dxfId="1">
      <formula>"Bloqueado"</formula>
    </cfRule>
    <cfRule type="cellIs" priority="27" operator="equal" dxfId="0">
      <formula>"Sin fecha"</formula>
    </cfRule>
  </conditionalFormatting>
  <dataValidations count="4">
    <dataValidation sqref="B4:B60" showDropDown="0" showInputMessage="0" showErrorMessage="0" allowBlank="1" errorTitle="Entrada inválida" error="Valor no permitido. Selecciona una opción de la lista." type="list">
      <formula1>Cat_Modulos</formula1>
      <formula2>0</formula2>
    </dataValidation>
    <dataValidation sqref="E4:E60" showDropDown="0" showInputMessage="0" showErrorMessage="0" allowBlank="1" errorTitle="Entrada inválida" error="Valor no permitido. Selecciona una opción de la lista." type="list">
      <formula1>Cat_Areas</formula1>
      <formula2>0</formula2>
    </dataValidation>
    <dataValidation sqref="H4:H60" showDropDown="0" showInputMessage="0" showErrorMessage="0" allowBlank="1" errorTitle="Entrada inválida" error="Valor no permitido. Selecciona una opción de la lista." type="list">
      <formula1>Cat_Prioridad</formula1>
      <formula2>0</formula2>
    </dataValidation>
    <dataValidation sqref="I4:I60 L4:L60 O4:O60 R4:R60 U4:U60" showDropDown="0" showInputMessage="0" showErrorMessage="0" allowBlank="1" errorTitle="Entrada inválida" error="Valor no permitido. Selecciona una opción de la lista." type="list">
      <formula1>Cat_Estatus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2026-08-12T17:49:15Z</dcterms:created>
  <dcterms:modified xmlns:dcterms="http://purl.org/dc/terms/" xmlns:xsi="http://www.w3.org/2001/XMLSchema-instance" xsi:type="dcterms:W3CDTF">2026-09-05T18:18:47Z</dcterms:modified>
  <cp:lastModifiedBy>Caterine Ladino Galvis</cp:lastModifiedBy>
  <cp:revision>0</cp:revision>
</cp:coreProperties>
</file>